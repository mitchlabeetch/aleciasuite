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eur Honoraires" sheetId="1" state="visible" r:id="rId2"/>
    <sheet name="Lettre Engagemen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<sst xmlns="http://schemas.openxmlformats.org/spreadsheetml/2006/main" count="80" uniqueCount="76">
  <si>
    <t xml:space="preserve">CALCULATEUR D'HONORAIRES M&amp;A</t>
  </si>
  <si>
    <t xml:space="preserve">Client :</t>
  </si>
  <si>
    <t xml:space="preserve">[Nom du client]</t>
  </si>
  <si>
    <t xml:space="preserve">Type de mission :</t>
  </si>
  <si>
    <t xml:space="preserve">[Cession/Acquisition/etc.]</t>
  </si>
  <si>
    <t xml:space="preserve">Date :</t>
  </si>
  <si>
    <t xml:space="preserve">[JJ/MM/AAAA]</t>
  </si>
  <si>
    <t xml:space="preserve">VALEUR DE LA TRANSACTION</t>
  </si>
  <si>
    <t xml:space="preserve">Poste</t>
  </si>
  <si>
    <t xml:space="preserve">Montant (k€)</t>
  </si>
  <si>
    <t xml:space="preserve">Commentaire</t>
  </si>
  <si>
    <t xml:space="preserve">Valorisation entreprise</t>
  </si>
  <si>
    <t xml:space="preserve">[Base de valorisation]</t>
  </si>
  <si>
    <t xml:space="preserve">Dette reprise</t>
  </si>
  <si>
    <t xml:space="preserve">[Dette nette]</t>
  </si>
  <si>
    <t xml:space="preserve">Cash disponible</t>
  </si>
  <si>
    <t xml:space="preserve">[Trésorerie]</t>
  </si>
  <si>
    <t xml:space="preserve">Ajustements</t>
  </si>
  <si>
    <t xml:space="preserve">[Autres ajustements]</t>
  </si>
  <si>
    <t xml:space="preserve">VALEUR TOTALE TRANSACTION</t>
  </si>
  <si>
    <t xml:space="preserve">STRUCTURE DES HONORAIRES</t>
  </si>
  <si>
    <t xml:space="preserve">Type d'honoraires</t>
  </si>
  <si>
    <t xml:space="preserve">Détail</t>
  </si>
  <si>
    <t xml:space="preserve">Retainer (mensuel)</t>
  </si>
  <si>
    <t xml:space="preserve">Nombre de mois :</t>
  </si>
  <si>
    <t xml:space="preserve">Total retainer</t>
  </si>
  <si>
    <t xml:space="preserve">SUCCESS FEE (Lehman)</t>
  </si>
  <si>
    <t xml:space="preserve">Tranche</t>
  </si>
  <si>
    <t xml:space="preserve">Taux</t>
  </si>
  <si>
    <t xml:space="preserve">Base</t>
  </si>
  <si>
    <t xml:space="preserve">Honoraires</t>
  </si>
  <si>
    <t xml:space="preserve">1er M€</t>
  </si>
  <si>
    <t xml:space="preserve">2ème M€</t>
  </si>
  <si>
    <t xml:space="preserve">3ème M€</t>
  </si>
  <si>
    <t xml:space="preserve">Au-delà</t>
  </si>
  <si>
    <t xml:space="preserve">Total success fee</t>
  </si>
  <si>
    <t xml:space="preserve">TOTAL DES HONORAIRES</t>
  </si>
  <si>
    <t xml:space="preserve">Retainer</t>
  </si>
  <si>
    <t xml:space="preserve">Success fee</t>
  </si>
  <si>
    <t xml:space="preserve">Frais (estimation)</t>
  </si>
  <si>
    <t xml:space="preserve">TOTAL HONORAIRES</t>
  </si>
  <si>
    <t xml:space="preserve">% de la transaction :</t>
  </si>
  <si>
    <t xml:space="preserve">MODÈLE DE LETTRE D'ENGAGEMENT</t>
  </si>
  <si>
    <t xml:space="preserve">Nom du client :</t>
  </si>
  <si>
    <t xml:space="preserve">[Nom]</t>
  </si>
  <si>
    <t xml:space="preserve">Adresse :</t>
  </si>
  <si>
    <t xml:space="preserve">[Adresse]</t>
  </si>
  <si>
    <t xml:space="preserve">Objet :</t>
  </si>
  <si>
    <t xml:space="preserve">Mission de conseil en [cession/acquisition]</t>
  </si>
  <si>
    <t xml:space="preserve">Madame, Monsieur,</t>
  </si>
  <si>
    <t xml:space="preserve">Suite à nos échanges, nous avons le plaisir de vous confirmer notre engagement</t>
  </si>
  <si>
    <t xml:space="preserve">en tant que conseil exclusif pour la [cession/acquisition] de [société].</t>
  </si>
  <si>
    <t xml:space="preserve">DURÉE DE LA MISSION</t>
  </si>
  <si>
    <t xml:space="preserve">La présente mission débutera à la date de signature et se terminera à la</t>
  </si>
  <si>
    <t xml:space="preserve">signature de l'acte de [cession/acquisition], ou à défaut dans un délai de</t>
  </si>
  <si>
    <t xml:space="preserve">[X] mois, renouvelable par accord des parties.</t>
  </si>
  <si>
    <t xml:space="preserve">HONORAIRES</t>
  </si>
  <si>
    <t xml:space="preserve">Retainer mensuel : [montant] € HT</t>
  </si>
  <si>
    <t xml:space="preserve">Success fee : selon formule de Lehman</t>
  </si>
  <si>
    <t xml:space="preserve">  - 5% sur le premier million d'euros</t>
  </si>
  <si>
    <t xml:space="preserve">  - 4% sur le deuxième million d'euros</t>
  </si>
  <si>
    <t xml:space="preserve">  - 3% sur le troisième million d'euros</t>
  </si>
  <si>
    <t xml:space="preserve">  - 2% au-delà</t>
  </si>
  <si>
    <t xml:space="preserve">EXCLUSIVITÉ</t>
  </si>
  <si>
    <t xml:space="preserve">Le client s'engage à ne pas mandater d'autre intermédiaire pour la durée</t>
  </si>
  <si>
    <t xml:space="preserve">de la mission.</t>
  </si>
  <si>
    <t xml:space="preserve">Frais : Les frais engagés dans le cadre de la mission seront facturés</t>
  </si>
  <si>
    <t xml:space="preserve">en sus sur présentation de justificatifs.</t>
  </si>
  <si>
    <t xml:space="preserve">Nous vous prions d'agréer, Madame, Monsieur, l'expression de nos</t>
  </si>
  <si>
    <t xml:space="preserve">salutations distinguées.</t>
  </si>
  <si>
    <t xml:space="preserve">[Nom du cabinet]</t>
  </si>
  <si>
    <t xml:space="preserve">SIGNATURES</t>
  </si>
  <si>
    <t xml:space="preserve">Pour le client :</t>
  </si>
  <si>
    <t xml:space="preserve">Pour le cabinet :</t>
  </si>
  <si>
    <t xml:space="preserve">Date : _______________</t>
  </si>
  <si>
    <t xml:space="preserve">Signature 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</si>
</sst>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&quot; k€&quot;"/>
    <numFmt numFmtId="167" formatCode="0%"/>
    <numFmt numFmtId="168" formatCode="0.00%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0066CC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4"/>
      <color rgb="FF0066CC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b val="true"/>
      <sz val="18"/>
      <color rgb="FF1F4E7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9F9F9"/>
        <bgColor rgb="FFFFFFFF"/>
      </patternFill>
    </fill>
    <fill>
      <patternFill patternType="solid">
        <fgColor rgb="FFFFF3E0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F9F9F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2" t="s">
        <v>1</v>
      </c>
      <c r="C4" s="3" t="s">
        <v>2</v>
      </c>
      <c r="E4" s="2" t="s">
        <v>3</v>
      </c>
      <c r="F4" s="3" t="s">
        <v>4</v>
      </c>
    </row>
    <row r="5" customFormat="false" ht="15" hidden="false" customHeight="false" outlineLevel="0" collapsed="false">
      <c r="B5" s="2" t="s">
        <v>5</v>
      </c>
      <c r="C5" s="3" t="s">
        <v>6</v>
      </c>
    </row>
    <row r="7" customFormat="false" ht="24.75" hidden="false" customHeight="true" outlineLevel="0" collapsed="false">
      <c r="B7" s="4" t="s">
        <v>7</v>
      </c>
      <c r="C7" s="4"/>
      <c r="D7" s="4"/>
    </row>
    <row r="8" customFormat="false" ht="15" hidden="false" customHeight="false" outlineLevel="0" collapsed="false">
      <c r="B8" s="5" t="s">
        <v>8</v>
      </c>
      <c r="C8" s="5" t="s">
        <v>9</v>
      </c>
      <c r="D8" s="5" t="s">
        <v>10</v>
      </c>
    </row>
    <row r="9" customFormat="false" ht="15" hidden="false" customHeight="false" outlineLevel="0" collapsed="false">
      <c r="B9" s="6" t="s">
        <v>11</v>
      </c>
      <c r="C9" s="7" t="n">
        <v>5000</v>
      </c>
      <c r="D9" s="8" t="s">
        <v>12</v>
      </c>
    </row>
    <row r="10" customFormat="false" ht="15" hidden="false" customHeight="false" outlineLevel="0" collapsed="false">
      <c r="B10" s="9" t="s">
        <v>13</v>
      </c>
      <c r="C10" s="10" t="n">
        <v>1000</v>
      </c>
      <c r="D10" s="11" t="s">
        <v>14</v>
      </c>
    </row>
    <row r="11" customFormat="false" ht="15" hidden="false" customHeight="false" outlineLevel="0" collapsed="false">
      <c r="B11" s="6" t="s">
        <v>15</v>
      </c>
      <c r="C11" s="7" t="n">
        <v>-300</v>
      </c>
      <c r="D11" s="8" t="s">
        <v>16</v>
      </c>
    </row>
    <row r="12" customFormat="false" ht="15" hidden="false" customHeight="false" outlineLevel="0" collapsed="false">
      <c r="B12" s="9" t="s">
        <v>17</v>
      </c>
      <c r="C12" s="10" t="n">
        <v>0</v>
      </c>
      <c r="D12" s="11" t="s">
        <v>18</v>
      </c>
    </row>
    <row r="13" customFormat="false" ht="15" hidden="false" customHeight="false" outlineLevel="0" collapsed="false">
      <c r="B13" s="12" t="s">
        <v>19</v>
      </c>
      <c r="C13" s="13" t="n">
        <f aca="false">SUM(C9:C12)</f>
        <v>5700</v>
      </c>
    </row>
    <row r="15" customFormat="false" ht="24.75" hidden="false" customHeight="true" outlineLevel="0" collapsed="false">
      <c r="B15" s="4" t="s">
        <v>20</v>
      </c>
      <c r="C15" s="4"/>
      <c r="D15" s="4"/>
    </row>
    <row r="16" customFormat="false" ht="15" hidden="false" customHeight="false" outlineLevel="0" collapsed="false">
      <c r="B16" s="5" t="s">
        <v>21</v>
      </c>
      <c r="C16" s="5" t="s">
        <v>9</v>
      </c>
      <c r="D16" s="5" t="s">
        <v>22</v>
      </c>
    </row>
    <row r="17" customFormat="false" ht="15" hidden="false" customHeight="false" outlineLevel="0" collapsed="false">
      <c r="B17" s="6" t="s">
        <v>23</v>
      </c>
      <c r="C17" s="7" t="n">
        <v>10</v>
      </c>
      <c r="D17" s="6" t="s">
        <v>24</v>
      </c>
      <c r="E17" s="8" t="n">
        <v>6</v>
      </c>
    </row>
    <row r="18" customFormat="false" ht="15" hidden="false" customHeight="false" outlineLevel="0" collapsed="false">
      <c r="B18" s="14" t="s">
        <v>25</v>
      </c>
      <c r="C18" s="15" t="n">
        <f aca="false">C17*E17</f>
        <v>60</v>
      </c>
    </row>
    <row r="20" customFormat="false" ht="15" hidden="false" customHeight="false" outlineLevel="0" collapsed="false">
      <c r="B20" s="12" t="s">
        <v>26</v>
      </c>
    </row>
    <row r="21" customFormat="false" ht="15" hidden="false" customHeight="false" outlineLevel="0" collapsed="false">
      <c r="B21" s="5" t="s">
        <v>27</v>
      </c>
      <c r="C21" s="5" t="s">
        <v>28</v>
      </c>
      <c r="D21" s="5" t="s">
        <v>29</v>
      </c>
      <c r="E21" s="5" t="s">
        <v>30</v>
      </c>
    </row>
    <row r="22" customFormat="false" ht="15" hidden="false" customHeight="false" outlineLevel="0" collapsed="false">
      <c r="B22" s="6" t="s">
        <v>31</v>
      </c>
      <c r="C22" s="16" t="n">
        <v>0.05</v>
      </c>
      <c r="D22" s="17" t="n">
        <f aca="false">MIN(C13,1000)</f>
        <v>1000</v>
      </c>
      <c r="E22" s="17" t="n">
        <f aca="false">C22*D22</f>
        <v>50</v>
      </c>
    </row>
    <row r="23" customFormat="false" ht="15" hidden="false" customHeight="false" outlineLevel="0" collapsed="false">
      <c r="B23" s="6" t="s">
        <v>32</v>
      </c>
      <c r="C23" s="16" t="n">
        <v>0.04</v>
      </c>
      <c r="D23" s="17" t="n">
        <f aca="false">IF(C13&gt;1000,MIN(C13-1000,1000),0)</f>
        <v>1000</v>
      </c>
      <c r="E23" s="17" t="n">
        <f aca="false">C23*D23</f>
        <v>40</v>
      </c>
    </row>
    <row r="24" customFormat="false" ht="15" hidden="false" customHeight="false" outlineLevel="0" collapsed="false">
      <c r="B24" s="6" t="s">
        <v>33</v>
      </c>
      <c r="C24" s="16" t="n">
        <v>0.03</v>
      </c>
      <c r="D24" s="17" t="n">
        <f aca="false">IF(C13&gt;2000,MIN(C13-2000,1000),0)</f>
        <v>1000</v>
      </c>
      <c r="E24" s="17" t="n">
        <f aca="false">C24*D24</f>
        <v>30</v>
      </c>
    </row>
    <row r="25" customFormat="false" ht="15" hidden="false" customHeight="false" outlineLevel="0" collapsed="false">
      <c r="B25" s="6" t="s">
        <v>34</v>
      </c>
      <c r="C25" s="16" t="n">
        <v>0.02</v>
      </c>
      <c r="D25" s="17" t="n">
        <f aca="false">IF(C13&gt;3000,C13-3000,0)</f>
        <v>2700</v>
      </c>
      <c r="E25" s="17" t="n">
        <f aca="false">C25*D25</f>
        <v>54</v>
      </c>
    </row>
    <row r="26" customFormat="false" ht="15" hidden="false" customHeight="false" outlineLevel="0" collapsed="false">
      <c r="B26" s="14" t="s">
        <v>35</v>
      </c>
      <c r="E26" s="15" t="n">
        <f aca="false">SUM(E22:E25)</f>
        <v>174</v>
      </c>
    </row>
    <row r="28" customFormat="false" ht="24.75" hidden="false" customHeight="true" outlineLevel="0" collapsed="false">
      <c r="B28" s="4" t="s">
        <v>36</v>
      </c>
      <c r="C28" s="4"/>
      <c r="D28" s="4"/>
    </row>
    <row r="29" customFormat="false" ht="15" hidden="false" customHeight="false" outlineLevel="0" collapsed="false">
      <c r="B29" s="6" t="s">
        <v>37</v>
      </c>
      <c r="C29" s="17" t="n">
        <f aca="false">C18</f>
        <v>60</v>
      </c>
    </row>
    <row r="30" customFormat="false" ht="15" hidden="false" customHeight="false" outlineLevel="0" collapsed="false">
      <c r="B30" s="6" t="s">
        <v>38</v>
      </c>
      <c r="C30" s="17" t="n">
        <f aca="false">E26</f>
        <v>174</v>
      </c>
    </row>
    <row r="31" customFormat="false" ht="15" hidden="false" customHeight="false" outlineLevel="0" collapsed="false">
      <c r="B31" s="6" t="s">
        <v>39</v>
      </c>
      <c r="C31" s="7" t="n">
        <v>15</v>
      </c>
    </row>
    <row r="32" customFormat="false" ht="15" hidden="false" customHeight="false" outlineLevel="0" collapsed="false">
      <c r="B32" s="18" t="s">
        <v>40</v>
      </c>
      <c r="C32" s="19" t="n">
        <f aca="false">C29+C30+C31</f>
        <v>249</v>
      </c>
    </row>
    <row r="33" customFormat="false" ht="15" hidden="false" customHeight="false" outlineLevel="0" collapsed="false">
      <c r="B33" s="2" t="s">
        <v>41</v>
      </c>
      <c r="C33" s="20" t="n">
        <f aca="false">IFERROR(C32/C13,0)</f>
        <v>0.0436842105263158</v>
      </c>
    </row>
  </sheetData>
  <mergeCells count="4">
    <mergeCell ref="B2:H2"/>
    <mergeCell ref="B7:D7"/>
    <mergeCell ref="B15:D15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</cols>
  <sheetData>
    <row r="2" customFormat="false" ht="30" hidden="false" customHeight="true" outlineLevel="0" collapsed="false">
      <c r="B2" s="21" t="s">
        <v>42</v>
      </c>
      <c r="C2" s="21"/>
      <c r="D2" s="21"/>
      <c r="E2" s="21"/>
      <c r="F2" s="21"/>
      <c r="G2" s="21"/>
      <c r="H2" s="21"/>
    </row>
    <row r="4" customFormat="false" ht="15" hidden="false" customHeight="false" outlineLevel="0" collapsed="false">
      <c r="B4" s="2" t="s">
        <v>5</v>
      </c>
      <c r="C4" s="3" t="s">
        <v>6</v>
      </c>
    </row>
    <row r="5" customFormat="false" ht="15" hidden="false" customHeight="false" outlineLevel="0" collapsed="false">
      <c r="B5" s="2" t="s">
        <v>43</v>
      </c>
      <c r="C5" s="3" t="s">
        <v>44</v>
      </c>
    </row>
    <row r="6" customFormat="false" ht="15" hidden="false" customHeight="false" outlineLevel="0" collapsed="false">
      <c r="B6" s="2" t="s">
        <v>45</v>
      </c>
      <c r="C6" s="3" t="s">
        <v>46</v>
      </c>
    </row>
    <row r="7" customFormat="false" ht="15" hidden="false" customHeight="false" outlineLevel="0" collapsed="false">
      <c r="B7" s="2" t="s">
        <v>47</v>
      </c>
      <c r="C7" s="3" t="s">
        <v>48</v>
      </c>
    </row>
    <row r="9" customFormat="false" ht="15" hidden="false" customHeight="false" outlineLevel="0" collapsed="false">
      <c r="B9" s="22" t="s">
        <v>49</v>
      </c>
      <c r="C9" s="22"/>
      <c r="D9" s="22"/>
      <c r="E9" s="22"/>
      <c r="F9" s="22"/>
      <c r="G9" s="22"/>
      <c r="H9" s="22"/>
    </row>
    <row r="11" customFormat="false" ht="15" hidden="false" customHeight="false" outlineLevel="0" collapsed="false">
      <c r="B11" s="22" t="s">
        <v>50</v>
      </c>
      <c r="C11" s="22"/>
      <c r="D11" s="22"/>
      <c r="E11" s="22"/>
      <c r="F11" s="22"/>
      <c r="G11" s="22"/>
      <c r="H11" s="22"/>
    </row>
    <row r="12" customFormat="false" ht="15" hidden="false" customHeight="false" outlineLevel="0" collapsed="false">
      <c r="B12" s="22" t="s">
        <v>51</v>
      </c>
      <c r="C12" s="22"/>
      <c r="D12" s="22"/>
      <c r="E12" s="22"/>
      <c r="F12" s="22"/>
      <c r="G12" s="22"/>
      <c r="H12" s="22"/>
    </row>
    <row r="14" customFormat="false" ht="15" hidden="false" customHeight="false" outlineLevel="0" collapsed="false">
      <c r="B14" s="22" t="s">
        <v>52</v>
      </c>
      <c r="C14" s="22"/>
      <c r="D14" s="22"/>
      <c r="E14" s="22"/>
      <c r="F14" s="22"/>
      <c r="G14" s="22"/>
      <c r="H14" s="22"/>
    </row>
    <row r="15" customFormat="false" ht="15" hidden="false" customHeight="false" outlineLevel="0" collapsed="false">
      <c r="B15" s="22" t="s">
        <v>53</v>
      </c>
      <c r="C15" s="22"/>
      <c r="D15" s="22"/>
      <c r="E15" s="22"/>
      <c r="F15" s="22"/>
      <c r="G15" s="22"/>
      <c r="H15" s="22"/>
    </row>
    <row r="16" customFormat="false" ht="15" hidden="false" customHeight="false" outlineLevel="0" collapsed="false">
      <c r="B16" s="22" t="s">
        <v>54</v>
      </c>
      <c r="C16" s="22"/>
      <c r="D16" s="22"/>
      <c r="E16" s="22"/>
      <c r="F16" s="22"/>
      <c r="G16" s="22"/>
      <c r="H16" s="22"/>
    </row>
    <row r="17" customFormat="false" ht="15" hidden="false" customHeight="false" outlineLevel="0" collapsed="false">
      <c r="B17" s="22" t="s">
        <v>55</v>
      </c>
      <c r="C17" s="22"/>
      <c r="D17" s="22"/>
      <c r="E17" s="22"/>
      <c r="F17" s="22"/>
      <c r="G17" s="22"/>
      <c r="H17" s="22"/>
    </row>
    <row r="19" customFormat="false" ht="15" hidden="false" customHeight="false" outlineLevel="0" collapsed="false">
      <c r="B19" s="22" t="s">
        <v>56</v>
      </c>
      <c r="C19" s="22"/>
      <c r="D19" s="22"/>
      <c r="E19" s="22"/>
      <c r="F19" s="22"/>
      <c r="G19" s="22"/>
      <c r="H19" s="22"/>
    </row>
    <row r="20" customFormat="false" ht="15" hidden="false" customHeight="false" outlineLevel="0" collapsed="false">
      <c r="B20" s="22" t="s">
        <v>57</v>
      </c>
      <c r="C20" s="22"/>
      <c r="D20" s="22"/>
      <c r="E20" s="22"/>
      <c r="F20" s="22"/>
      <c r="G20" s="22"/>
      <c r="H20" s="22"/>
    </row>
    <row r="21" customFormat="false" ht="15" hidden="false" customHeight="false" outlineLevel="0" collapsed="false">
      <c r="B21" s="22" t="s">
        <v>58</v>
      </c>
      <c r="C21" s="22"/>
      <c r="D21" s="22"/>
      <c r="E21" s="22"/>
      <c r="F21" s="22"/>
      <c r="G21" s="22"/>
      <c r="H21" s="22"/>
    </row>
    <row r="22" customFormat="false" ht="15" hidden="false" customHeight="false" outlineLevel="0" collapsed="false">
      <c r="B22" s="22" t="s">
        <v>59</v>
      </c>
      <c r="C22" s="22"/>
      <c r="D22" s="22"/>
      <c r="E22" s="22"/>
      <c r="F22" s="22"/>
      <c r="G22" s="22"/>
      <c r="H22" s="22"/>
    </row>
    <row r="23" customFormat="false" ht="15" hidden="false" customHeight="false" outlineLevel="0" collapsed="false">
      <c r="B23" s="22" t="s">
        <v>60</v>
      </c>
      <c r="C23" s="22"/>
      <c r="D23" s="22"/>
      <c r="E23" s="22"/>
      <c r="F23" s="22"/>
      <c r="G23" s="22"/>
      <c r="H23" s="22"/>
    </row>
    <row r="24" customFormat="false" ht="15" hidden="false" customHeight="false" outlineLevel="0" collapsed="false">
      <c r="B24" s="22" t="s">
        <v>61</v>
      </c>
      <c r="C24" s="22"/>
      <c r="D24" s="22"/>
      <c r="E24" s="22"/>
      <c r="F24" s="22"/>
      <c r="G24" s="22"/>
      <c r="H24" s="22"/>
    </row>
    <row r="25" customFormat="false" ht="15" hidden="false" customHeight="false" outlineLevel="0" collapsed="false">
      <c r="B25" s="22" t="s">
        <v>62</v>
      </c>
      <c r="C25" s="22"/>
      <c r="D25" s="22"/>
      <c r="E25" s="22"/>
      <c r="F25" s="22"/>
      <c r="G25" s="22"/>
      <c r="H25" s="22"/>
    </row>
    <row r="27" customFormat="false" ht="15" hidden="false" customHeight="false" outlineLevel="0" collapsed="false">
      <c r="B27" s="22" t="s">
        <v>63</v>
      </c>
      <c r="C27" s="22"/>
      <c r="D27" s="22"/>
      <c r="E27" s="22"/>
      <c r="F27" s="22"/>
      <c r="G27" s="22"/>
      <c r="H27" s="22"/>
    </row>
    <row r="28" customFormat="false" ht="15" hidden="false" customHeight="false" outlineLevel="0" collapsed="false">
      <c r="B28" s="22" t="s">
        <v>64</v>
      </c>
      <c r="C28" s="22"/>
      <c r="D28" s="22"/>
      <c r="E28" s="22"/>
      <c r="F28" s="22"/>
      <c r="G28" s="22"/>
      <c r="H28" s="22"/>
    </row>
    <row r="29" customFormat="false" ht="15" hidden="false" customHeight="false" outlineLevel="0" collapsed="false">
      <c r="B29" s="22" t="s">
        <v>65</v>
      </c>
      <c r="C29" s="22"/>
      <c r="D29" s="22"/>
      <c r="E29" s="22"/>
      <c r="F29" s="22"/>
      <c r="G29" s="22"/>
      <c r="H29" s="22"/>
    </row>
    <row r="31" customFormat="false" ht="15" hidden="false" customHeight="false" outlineLevel="0" collapsed="false">
      <c r="B31" s="22" t="s">
        <v>66</v>
      </c>
      <c r="C31" s="22"/>
      <c r="D31" s="22"/>
      <c r="E31" s="22"/>
      <c r="F31" s="22"/>
      <c r="G31" s="22"/>
      <c r="H31" s="22"/>
    </row>
    <row r="32" customFormat="false" ht="15" hidden="false" customHeight="false" outlineLevel="0" collapsed="false">
      <c r="B32" s="22" t="s">
        <v>67</v>
      </c>
      <c r="C32" s="22"/>
      <c r="D32" s="22"/>
      <c r="E32" s="22"/>
      <c r="F32" s="22"/>
      <c r="G32" s="22"/>
      <c r="H32" s="22"/>
    </row>
    <row r="34" customFormat="false" ht="15" hidden="false" customHeight="false" outlineLevel="0" collapsed="false">
      <c r="B34" s="22" t="s">
        <v>68</v>
      </c>
      <c r="C34" s="22"/>
      <c r="D34" s="22"/>
      <c r="E34" s="22"/>
      <c r="F34" s="22"/>
      <c r="G34" s="22"/>
      <c r="H34" s="22"/>
    </row>
    <row r="35" customFormat="false" ht="15" hidden="false" customHeight="false" outlineLevel="0" collapsed="false">
      <c r="B35" s="22" t="s">
        <v>69</v>
      </c>
      <c r="C35" s="22"/>
      <c r="D35" s="22"/>
      <c r="E35" s="22"/>
      <c r="F35" s="22"/>
      <c r="G35" s="22"/>
      <c r="H35" s="22"/>
    </row>
    <row r="37" customFormat="false" ht="15" hidden="false" customHeight="false" outlineLevel="0" collapsed="false">
      <c r="B37" s="22" t="s">
        <v>70</v>
      </c>
      <c r="C37" s="22"/>
      <c r="D37" s="22"/>
      <c r="E37" s="22"/>
      <c r="F37" s="22"/>
      <c r="G37" s="22"/>
      <c r="H37" s="22"/>
    </row>
    <row r="39" customFormat="false" ht="15" hidden="false" customHeight="false" outlineLevel="0" collapsed="false">
      <c r="B39" s="22" t="s">
        <v>71</v>
      </c>
      <c r="C39" s="22"/>
      <c r="D39" s="22"/>
      <c r="E39" s="22"/>
      <c r="F39" s="22"/>
      <c r="G39" s="22"/>
      <c r="H39" s="22"/>
    </row>
    <row r="41" customFormat="false" ht="15" hidden="false" customHeight="false" outlineLevel="0" collapsed="false">
      <c r="B41" s="2" t="s">
        <v>72</v>
      </c>
      <c r="C41" s="3" t="s">
        <v>73</v>
      </c>
    </row>
    <row r="43" customFormat="false" ht="15" hidden="false" customHeight="false" outlineLevel="0" collapsed="false">
      <c r="B43" s="22" t="s">
        <v>74</v>
      </c>
      <c r="C43" s="22"/>
      <c r="D43" s="22"/>
      <c r="E43" s="22"/>
      <c r="F43" s="22"/>
      <c r="G43" s="22"/>
      <c r="H43" s="22"/>
    </row>
    <row r="45" customFormat="false" ht="15" hidden="false" customHeight="false" outlineLevel="0" collapsed="false">
      <c r="B45" s="2" t="s">
        <v>75</v>
      </c>
      <c r="C45" s="3" t="s">
        <v>75</v>
      </c>
    </row>
  </sheetData>
  <mergeCells count="25">
    <mergeCell ref="B2:H2"/>
    <mergeCell ref="B9:H9"/>
    <mergeCell ref="B11:H11"/>
    <mergeCell ref="B12:H12"/>
    <mergeCell ref="B14:H14"/>
    <mergeCell ref="B15:H15"/>
    <mergeCell ref="B16:H16"/>
    <mergeCell ref="B17:H17"/>
    <mergeCell ref="B19:H19"/>
    <mergeCell ref="B20:H20"/>
    <mergeCell ref="B21:H21"/>
    <mergeCell ref="B22:H22"/>
    <mergeCell ref="B23:H23"/>
    <mergeCell ref="B24:H24"/>
    <mergeCell ref="B25:H25"/>
    <mergeCell ref="B27:H27"/>
    <mergeCell ref="B28:H28"/>
    <mergeCell ref="B29:H29"/>
    <mergeCell ref="B31:H31"/>
    <mergeCell ref="B32:H32"/>
    <mergeCell ref="B34:H34"/>
    <mergeCell ref="B35:H35"/>
    <mergeCell ref="B37:H37"/>
    <mergeCell ref="B39:H39"/>
    <mergeCell ref="B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2026-02-03T04:19:16Z</dcterms:created>
  <dc:creator>openpyxl</dc:creator>
  <dc:description/>
  <dc:language>en-US</dc:language>
  <cp:lastModifiedBy/>
  <dcterms:modified xsi:type="dcterms:W3CDTF">2026-02-03T04:19:16Z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