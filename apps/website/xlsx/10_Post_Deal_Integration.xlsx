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égr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<sst xmlns="http://schemas.openxmlformats.org/spreadsheetml/2006/main" count="212" uniqueCount="79">
  <si>
    <t xml:space="preserve">CHECKLIST D'INTÉGRATION POST-TRANSACTION</t>
  </si>
  <si>
    <t xml:space="preserve">Entreprise acquise :</t>
  </si>
  <si>
    <t xml:space="preserve">[Nom de l'entreprise]</t>
  </si>
  <si>
    <t xml:space="preserve">Date de closing :</t>
  </si>
  <si>
    <t xml:space="preserve">[JJ/MM/AAAA]</t>
  </si>
  <si>
    <t xml:space="preserve">Acquéreur :</t>
  </si>
  <si>
    <t xml:space="preserve">[Nom de l'acquéreur]</t>
  </si>
  <si>
    <t xml:space="preserve">AVANCEMENT GLOBAL</t>
  </si>
  <si>
    <t xml:space="preserve">Tâches totales :</t>
  </si>
  <si>
    <t xml:space="preserve">Progression :</t>
  </si>
  <si>
    <t xml:space="preserve">Terminées :</t>
  </si>
  <si>
    <t xml:space="preserve">Phase</t>
  </si>
  <si>
    <t xml:space="preserve">Domaine</t>
  </si>
  <si>
    <t xml:space="preserve">Tâche</t>
  </si>
  <si>
    <t xml:space="preserve">Responsable</t>
  </si>
  <si>
    <t xml:space="preserve">Statut</t>
  </si>
  <si>
    <t xml:space="preserve">Priorité</t>
  </si>
  <si>
    <t xml:space="preserve">Date cible</t>
  </si>
  <si>
    <t xml:space="preserve">Date réalisation</t>
  </si>
  <si>
    <t xml:space="preserve">Commentaires</t>
  </si>
  <si>
    <t xml:space="preserve">Jour 1</t>
  </si>
  <si>
    <t xml:space="preserve">Juridique</t>
  </si>
  <si>
    <t xml:space="preserve">Notification aux autorités</t>
  </si>
  <si>
    <t xml:space="preserve">À faire</t>
  </si>
  <si>
    <t xml:space="preserve">Critique</t>
  </si>
  <si>
    <t xml:space="preserve">J</t>
  </si>
  <si>
    <t xml:space="preserve">Transfert des titres</t>
  </si>
  <si>
    <t xml:space="preserve">Financier</t>
  </si>
  <si>
    <t xml:space="preserve">Paiement du prix</t>
  </si>
  <si>
    <t xml:space="preserve">RH</t>
  </si>
  <si>
    <t xml:space="preserve">Communication aux salariés</t>
  </si>
  <si>
    <t xml:space="preserve">Communication</t>
  </si>
  <si>
    <t xml:space="preserve">Communiqué de presse</t>
  </si>
  <si>
    <t xml:space="preserve">Haute</t>
  </si>
  <si>
    <t xml:space="preserve">Semaine 1</t>
  </si>
  <si>
    <t xml:space="preserve">Réunion de présentation équipe</t>
  </si>
  <si>
    <t xml:space="preserve">J+3</t>
  </si>
  <si>
    <t xml:space="preserve">Identification des talents clés</t>
  </si>
  <si>
    <t xml:space="preserve">J+5</t>
  </si>
  <si>
    <t xml:space="preserve">Ouverture nouveaux comptes bancaires</t>
  </si>
  <si>
    <t xml:space="preserve">IT</t>
  </si>
  <si>
    <t xml:space="preserve">Accès aux systèmes</t>
  </si>
  <si>
    <t xml:space="preserve">Commercial</t>
  </si>
  <si>
    <t xml:space="preserve">Réunion clients clés</t>
  </si>
  <si>
    <t xml:space="preserve">Moyenne</t>
  </si>
  <si>
    <t xml:space="preserve">J+7</t>
  </si>
  <si>
    <t xml:space="preserve">Mois 1</t>
  </si>
  <si>
    <t xml:space="preserve">Plan de rétention des talents</t>
  </si>
  <si>
    <t xml:space="preserve">M1</t>
  </si>
  <si>
    <t xml:space="preserve">Révision packages de rémunération</t>
  </si>
  <si>
    <t xml:space="preserve">Intégration reporting groupe</t>
  </si>
  <si>
    <t xml:space="preserve">Harmonisation politique de trésorerie</t>
  </si>
  <si>
    <t xml:space="preserve">Opérationnel</t>
  </si>
  <si>
    <t xml:space="preserve">Audit des processus</t>
  </si>
  <si>
    <t xml:space="preserve">Analyse du portefeuille clients</t>
  </si>
  <si>
    <t xml:space="preserve">Plan d'intégration systèmes</t>
  </si>
  <si>
    <t xml:space="preserve">Révision des contrats majeurs</t>
  </si>
  <si>
    <t xml:space="preserve">Mois 3</t>
  </si>
  <si>
    <t xml:space="preserve">Évaluation de la culture d'entreprise</t>
  </si>
  <si>
    <t xml:space="preserve">M3</t>
  </si>
  <si>
    <t xml:space="preserve">Formation des équipes</t>
  </si>
  <si>
    <t xml:space="preserve">Basse</t>
  </si>
  <si>
    <t xml:space="preserve">Première consolidation</t>
  </si>
  <si>
    <t xml:space="preserve">Identification des synergies</t>
  </si>
  <si>
    <t xml:space="preserve">Plan de cross-selling</t>
  </si>
  <si>
    <t xml:space="preserve">Début migration systèmes</t>
  </si>
  <si>
    <t xml:space="preserve">Mois 6</t>
  </si>
  <si>
    <t xml:space="preserve">Stratégique</t>
  </si>
  <si>
    <t xml:space="preserve">Revue stratégique intégrée</t>
  </si>
  <si>
    <t xml:space="preserve">M6</t>
  </si>
  <si>
    <t xml:space="preserve">Implémentation des synergies</t>
  </si>
  <si>
    <t xml:space="preserve">Réorganisation si nécessaire</t>
  </si>
  <si>
    <t xml:space="preserve">Premier bilan post-acquisition</t>
  </si>
  <si>
    <t xml:space="preserve">Fin migration systèmes</t>
  </si>
  <si>
    <t xml:space="preserve">Mois 12</t>
  </si>
  <si>
    <t xml:space="preserve">Bilan d'intégration</t>
  </si>
  <si>
    <t xml:space="preserve">M12</t>
  </si>
  <si>
    <t xml:space="preserve">Analyse de la création de valeur</t>
  </si>
  <si>
    <t xml:space="preserve">Enquête de satisfaction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</si>
</sst>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66CC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2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E0"/>
        <bgColor rgb="FFF9F9F9"/>
      </patternFill>
    </fill>
    <fill>
      <patternFill patternType="solid">
        <fgColor rgb="FF1F4E79"/>
        <bgColor rgb="FF003366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D9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FF3E0"/>
      <rgbColor rgb="FFF9F9F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5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25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4" customFormat="false" ht="15" hidden="false" customHeight="false" outlineLevel="0" collapsed="false">
      <c r="B4" s="2" t="s">
        <v>1</v>
      </c>
      <c r="C4" s="3" t="s">
        <v>2</v>
      </c>
      <c r="E4" s="2" t="s">
        <v>3</v>
      </c>
      <c r="F4" s="3" t="s">
        <v>4</v>
      </c>
      <c r="H4" s="2" t="s">
        <v>5</v>
      </c>
      <c r="I4" s="3" t="s">
        <v>6</v>
      </c>
    </row>
    <row r="6" customFormat="false" ht="15" hidden="false" customHeight="false" outlineLevel="0" collapsed="false">
      <c r="B6" s="4" t="s">
        <v>7</v>
      </c>
      <c r="C6" s="4"/>
      <c r="D6" s="4"/>
      <c r="E6" s="4"/>
      <c r="F6" s="4"/>
    </row>
    <row r="7" customFormat="false" ht="15" hidden="false" customHeight="false" outlineLevel="0" collapsed="false">
      <c r="B7" s="2" t="s">
        <v>8</v>
      </c>
      <c r="C7" s="3" t="n">
        <f aca="false">COUNTA(C10:C200)</f>
        <v>33</v>
      </c>
      <c r="E7" s="2" t="s">
        <v>9</v>
      </c>
      <c r="F7" s="5" t="n">
        <f aca="false">IFERROR(C8/C7,0)</f>
        <v>0</v>
      </c>
    </row>
    <row r="8" customFormat="false" ht="15" hidden="false" customHeight="false" outlineLevel="0" collapsed="false">
      <c r="B8" s="2" t="s">
        <v>10</v>
      </c>
      <c r="C8" s="3" t="n">
        <f aca="false">COUNTIF(F10:F200,"Terminé")</f>
        <v>0</v>
      </c>
    </row>
    <row r="10" customFormat="false" ht="30" hidden="false" customHeight="true" outlineLevel="0" collapsed="false">
      <c r="B10" s="6" t="s">
        <v>11</v>
      </c>
      <c r="C10" s="6" t="s">
        <v>12</v>
      </c>
      <c r="D10" s="6" t="s">
        <v>13</v>
      </c>
      <c r="E10" s="6" t="s">
        <v>14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</row>
    <row r="11" customFormat="false" ht="15" hidden="false" customHeight="false" outlineLevel="0" collapsed="false">
      <c r="B11" s="7" t="s">
        <v>20</v>
      </c>
      <c r="C11" s="7" t="s">
        <v>21</v>
      </c>
      <c r="D11" s="7" t="s">
        <v>22</v>
      </c>
      <c r="E11" s="8"/>
      <c r="F11" s="7" t="s">
        <v>23</v>
      </c>
      <c r="G11" s="7" t="s">
        <v>24</v>
      </c>
      <c r="H11" s="7" t="s">
        <v>25</v>
      </c>
      <c r="I11" s="7"/>
      <c r="J11" s="8"/>
    </row>
    <row r="12" customFormat="false" ht="15" hidden="false" customHeight="false" outlineLevel="0" collapsed="false">
      <c r="B12" s="9" t="s">
        <v>20</v>
      </c>
      <c r="C12" s="9" t="s">
        <v>21</v>
      </c>
      <c r="D12" s="9" t="s">
        <v>26</v>
      </c>
      <c r="E12" s="10"/>
      <c r="F12" s="9" t="s">
        <v>23</v>
      </c>
      <c r="G12" s="9" t="s">
        <v>24</v>
      </c>
      <c r="H12" s="9" t="s">
        <v>25</v>
      </c>
      <c r="I12" s="9"/>
      <c r="J12" s="10"/>
    </row>
    <row r="13" customFormat="false" ht="15" hidden="false" customHeight="false" outlineLevel="0" collapsed="false">
      <c r="B13" s="7" t="s">
        <v>20</v>
      </c>
      <c r="C13" s="7" t="s">
        <v>27</v>
      </c>
      <c r="D13" s="7" t="s">
        <v>28</v>
      </c>
      <c r="E13" s="8"/>
      <c r="F13" s="7" t="s">
        <v>23</v>
      </c>
      <c r="G13" s="7" t="s">
        <v>24</v>
      </c>
      <c r="H13" s="7" t="s">
        <v>25</v>
      </c>
      <c r="I13" s="7"/>
      <c r="J13" s="8"/>
    </row>
    <row r="14" customFormat="false" ht="15" hidden="false" customHeight="false" outlineLevel="0" collapsed="false">
      <c r="B14" s="9" t="s">
        <v>20</v>
      </c>
      <c r="C14" s="9" t="s">
        <v>29</v>
      </c>
      <c r="D14" s="9" t="s">
        <v>30</v>
      </c>
      <c r="E14" s="10"/>
      <c r="F14" s="9" t="s">
        <v>23</v>
      </c>
      <c r="G14" s="9" t="s">
        <v>24</v>
      </c>
      <c r="H14" s="9" t="s">
        <v>25</v>
      </c>
      <c r="I14" s="9"/>
      <c r="J14" s="10"/>
    </row>
    <row r="15" customFormat="false" ht="15" hidden="false" customHeight="false" outlineLevel="0" collapsed="false">
      <c r="B15" s="7" t="s">
        <v>20</v>
      </c>
      <c r="C15" s="7" t="s">
        <v>31</v>
      </c>
      <c r="D15" s="7" t="s">
        <v>32</v>
      </c>
      <c r="E15" s="8"/>
      <c r="F15" s="7" t="s">
        <v>23</v>
      </c>
      <c r="G15" s="7" t="s">
        <v>33</v>
      </c>
      <c r="H15" s="7" t="s">
        <v>25</v>
      </c>
      <c r="I15" s="7"/>
      <c r="J15" s="8"/>
    </row>
    <row r="16" customFormat="false" ht="15" hidden="false" customHeight="false" outlineLevel="0" collapsed="false">
      <c r="B16" s="9" t="s">
        <v>34</v>
      </c>
      <c r="C16" s="9" t="s">
        <v>29</v>
      </c>
      <c r="D16" s="9" t="s">
        <v>35</v>
      </c>
      <c r="E16" s="10"/>
      <c r="F16" s="9" t="s">
        <v>23</v>
      </c>
      <c r="G16" s="9" t="s">
        <v>33</v>
      </c>
      <c r="H16" s="9" t="s">
        <v>36</v>
      </c>
      <c r="I16" s="9"/>
      <c r="J16" s="10"/>
    </row>
    <row r="17" customFormat="false" ht="15" hidden="false" customHeight="false" outlineLevel="0" collapsed="false">
      <c r="B17" s="7" t="s">
        <v>34</v>
      </c>
      <c r="C17" s="7" t="s">
        <v>29</v>
      </c>
      <c r="D17" s="7" t="s">
        <v>37</v>
      </c>
      <c r="E17" s="8"/>
      <c r="F17" s="7" t="s">
        <v>23</v>
      </c>
      <c r="G17" s="7" t="s">
        <v>33</v>
      </c>
      <c r="H17" s="7" t="s">
        <v>38</v>
      </c>
      <c r="I17" s="7"/>
      <c r="J17" s="8"/>
    </row>
    <row r="18" customFormat="false" ht="15" hidden="false" customHeight="false" outlineLevel="0" collapsed="false">
      <c r="B18" s="9" t="s">
        <v>34</v>
      </c>
      <c r="C18" s="9" t="s">
        <v>27</v>
      </c>
      <c r="D18" s="9" t="s">
        <v>39</v>
      </c>
      <c r="E18" s="10"/>
      <c r="F18" s="9" t="s">
        <v>23</v>
      </c>
      <c r="G18" s="9" t="s">
        <v>33</v>
      </c>
      <c r="H18" s="9" t="s">
        <v>38</v>
      </c>
      <c r="I18" s="9"/>
      <c r="J18" s="10"/>
    </row>
    <row r="19" customFormat="false" ht="15" hidden="false" customHeight="false" outlineLevel="0" collapsed="false">
      <c r="B19" s="7" t="s">
        <v>34</v>
      </c>
      <c r="C19" s="7" t="s">
        <v>40</v>
      </c>
      <c r="D19" s="7" t="s">
        <v>41</v>
      </c>
      <c r="E19" s="8"/>
      <c r="F19" s="7" t="s">
        <v>23</v>
      </c>
      <c r="G19" s="7" t="s">
        <v>33</v>
      </c>
      <c r="H19" s="7" t="s">
        <v>36</v>
      </c>
      <c r="I19" s="7"/>
      <c r="J19" s="8"/>
    </row>
    <row r="20" customFormat="false" ht="15" hidden="false" customHeight="false" outlineLevel="0" collapsed="false">
      <c r="B20" s="9" t="s">
        <v>34</v>
      </c>
      <c r="C20" s="9" t="s">
        <v>42</v>
      </c>
      <c r="D20" s="9" t="s">
        <v>43</v>
      </c>
      <c r="E20" s="10"/>
      <c r="F20" s="9" t="s">
        <v>23</v>
      </c>
      <c r="G20" s="9" t="s">
        <v>44</v>
      </c>
      <c r="H20" s="9" t="s">
        <v>45</v>
      </c>
      <c r="I20" s="9"/>
      <c r="J20" s="10"/>
    </row>
    <row r="21" customFormat="false" ht="15" hidden="false" customHeight="false" outlineLevel="0" collapsed="false">
      <c r="B21" s="7" t="s">
        <v>46</v>
      </c>
      <c r="C21" s="7" t="s">
        <v>29</v>
      </c>
      <c r="D21" s="7" t="s">
        <v>47</v>
      </c>
      <c r="E21" s="8"/>
      <c r="F21" s="7" t="s">
        <v>23</v>
      </c>
      <c r="G21" s="7" t="s">
        <v>33</v>
      </c>
      <c r="H21" s="7" t="s">
        <v>48</v>
      </c>
      <c r="I21" s="7"/>
      <c r="J21" s="8"/>
    </row>
    <row r="22" customFormat="false" ht="15" hidden="false" customHeight="false" outlineLevel="0" collapsed="false">
      <c r="B22" s="9" t="s">
        <v>46</v>
      </c>
      <c r="C22" s="9" t="s">
        <v>29</v>
      </c>
      <c r="D22" s="9" t="s">
        <v>49</v>
      </c>
      <c r="E22" s="10"/>
      <c r="F22" s="9" t="s">
        <v>23</v>
      </c>
      <c r="G22" s="9" t="s">
        <v>44</v>
      </c>
      <c r="H22" s="9" t="s">
        <v>48</v>
      </c>
      <c r="I22" s="9"/>
      <c r="J22" s="10"/>
    </row>
    <row r="23" customFormat="false" ht="15" hidden="false" customHeight="false" outlineLevel="0" collapsed="false">
      <c r="B23" s="7" t="s">
        <v>46</v>
      </c>
      <c r="C23" s="7" t="s">
        <v>27</v>
      </c>
      <c r="D23" s="7" t="s">
        <v>50</v>
      </c>
      <c r="E23" s="8"/>
      <c r="F23" s="7" t="s">
        <v>23</v>
      </c>
      <c r="G23" s="7" t="s">
        <v>33</v>
      </c>
      <c r="H23" s="7" t="s">
        <v>48</v>
      </c>
      <c r="I23" s="7"/>
      <c r="J23" s="8"/>
    </row>
    <row r="24" customFormat="false" ht="15" hidden="false" customHeight="false" outlineLevel="0" collapsed="false">
      <c r="B24" s="9" t="s">
        <v>46</v>
      </c>
      <c r="C24" s="9" t="s">
        <v>27</v>
      </c>
      <c r="D24" s="9" t="s">
        <v>51</v>
      </c>
      <c r="E24" s="10"/>
      <c r="F24" s="9" t="s">
        <v>23</v>
      </c>
      <c r="G24" s="9" t="s">
        <v>44</v>
      </c>
      <c r="H24" s="9" t="s">
        <v>48</v>
      </c>
      <c r="I24" s="9"/>
      <c r="J24" s="10"/>
    </row>
    <row r="25" customFormat="false" ht="15" hidden="false" customHeight="false" outlineLevel="0" collapsed="false">
      <c r="B25" s="7" t="s">
        <v>46</v>
      </c>
      <c r="C25" s="7" t="s">
        <v>52</v>
      </c>
      <c r="D25" s="7" t="s">
        <v>53</v>
      </c>
      <c r="E25" s="8"/>
      <c r="F25" s="7" t="s">
        <v>23</v>
      </c>
      <c r="G25" s="7" t="s">
        <v>44</v>
      </c>
      <c r="H25" s="7" t="s">
        <v>48</v>
      </c>
      <c r="I25" s="7"/>
      <c r="J25" s="8"/>
    </row>
    <row r="26" customFormat="false" ht="15" hidden="false" customHeight="false" outlineLevel="0" collapsed="false">
      <c r="B26" s="9" t="s">
        <v>46</v>
      </c>
      <c r="C26" s="9" t="s">
        <v>42</v>
      </c>
      <c r="D26" s="9" t="s">
        <v>54</v>
      </c>
      <c r="E26" s="10"/>
      <c r="F26" s="9" t="s">
        <v>23</v>
      </c>
      <c r="G26" s="9" t="s">
        <v>44</v>
      </c>
      <c r="H26" s="9" t="s">
        <v>48</v>
      </c>
      <c r="I26" s="9"/>
      <c r="J26" s="10"/>
    </row>
    <row r="27" customFormat="false" ht="15" hidden="false" customHeight="false" outlineLevel="0" collapsed="false">
      <c r="B27" s="7" t="s">
        <v>46</v>
      </c>
      <c r="C27" s="7" t="s">
        <v>40</v>
      </c>
      <c r="D27" s="7" t="s">
        <v>55</v>
      </c>
      <c r="E27" s="8"/>
      <c r="F27" s="7" t="s">
        <v>23</v>
      </c>
      <c r="G27" s="7" t="s">
        <v>44</v>
      </c>
      <c r="H27" s="7" t="s">
        <v>48</v>
      </c>
      <c r="I27" s="7"/>
      <c r="J27" s="8"/>
    </row>
    <row r="28" customFormat="false" ht="15" hidden="false" customHeight="false" outlineLevel="0" collapsed="false">
      <c r="B28" s="9" t="s">
        <v>46</v>
      </c>
      <c r="C28" s="9" t="s">
        <v>21</v>
      </c>
      <c r="D28" s="9" t="s">
        <v>56</v>
      </c>
      <c r="E28" s="10"/>
      <c r="F28" s="9" t="s">
        <v>23</v>
      </c>
      <c r="G28" s="9" t="s">
        <v>44</v>
      </c>
      <c r="H28" s="9" t="s">
        <v>48</v>
      </c>
      <c r="I28" s="9"/>
      <c r="J28" s="10"/>
    </row>
    <row r="29" customFormat="false" ht="15" hidden="false" customHeight="false" outlineLevel="0" collapsed="false">
      <c r="B29" s="7" t="s">
        <v>57</v>
      </c>
      <c r="C29" s="7" t="s">
        <v>29</v>
      </c>
      <c r="D29" s="7" t="s">
        <v>58</v>
      </c>
      <c r="E29" s="8"/>
      <c r="F29" s="7" t="s">
        <v>23</v>
      </c>
      <c r="G29" s="7" t="s">
        <v>44</v>
      </c>
      <c r="H29" s="7" t="s">
        <v>59</v>
      </c>
      <c r="I29" s="7"/>
      <c r="J29" s="8"/>
    </row>
    <row r="30" customFormat="false" ht="15" hidden="false" customHeight="false" outlineLevel="0" collapsed="false">
      <c r="B30" s="9" t="s">
        <v>57</v>
      </c>
      <c r="C30" s="9" t="s">
        <v>29</v>
      </c>
      <c r="D30" s="9" t="s">
        <v>60</v>
      </c>
      <c r="E30" s="10"/>
      <c r="F30" s="9" t="s">
        <v>23</v>
      </c>
      <c r="G30" s="9" t="s">
        <v>61</v>
      </c>
      <c r="H30" s="9" t="s">
        <v>59</v>
      </c>
      <c r="I30" s="9"/>
      <c r="J30" s="10"/>
    </row>
    <row r="31" customFormat="false" ht="15" hidden="false" customHeight="false" outlineLevel="0" collapsed="false">
      <c r="B31" s="7" t="s">
        <v>57</v>
      </c>
      <c r="C31" s="7" t="s">
        <v>27</v>
      </c>
      <c r="D31" s="7" t="s">
        <v>62</v>
      </c>
      <c r="E31" s="8"/>
      <c r="F31" s="7" t="s">
        <v>23</v>
      </c>
      <c r="G31" s="7" t="s">
        <v>33</v>
      </c>
      <c r="H31" s="7" t="s">
        <v>59</v>
      </c>
      <c r="I31" s="7"/>
      <c r="J31" s="8"/>
    </row>
    <row r="32" customFormat="false" ht="15" hidden="false" customHeight="false" outlineLevel="0" collapsed="false">
      <c r="B32" s="9" t="s">
        <v>57</v>
      </c>
      <c r="C32" s="9" t="s">
        <v>52</v>
      </c>
      <c r="D32" s="9" t="s">
        <v>63</v>
      </c>
      <c r="E32" s="10"/>
      <c r="F32" s="9" t="s">
        <v>23</v>
      </c>
      <c r="G32" s="9" t="s">
        <v>33</v>
      </c>
      <c r="H32" s="9" t="s">
        <v>59</v>
      </c>
      <c r="I32" s="9"/>
      <c r="J32" s="10"/>
    </row>
    <row r="33" customFormat="false" ht="15" hidden="false" customHeight="false" outlineLevel="0" collapsed="false">
      <c r="B33" s="7" t="s">
        <v>57</v>
      </c>
      <c r="C33" s="7" t="s">
        <v>42</v>
      </c>
      <c r="D33" s="7" t="s">
        <v>64</v>
      </c>
      <c r="E33" s="8"/>
      <c r="F33" s="7" t="s">
        <v>23</v>
      </c>
      <c r="G33" s="7" t="s">
        <v>44</v>
      </c>
      <c r="H33" s="7" t="s">
        <v>59</v>
      </c>
      <c r="I33" s="7"/>
      <c r="J33" s="8"/>
    </row>
    <row r="34" customFormat="false" ht="15" hidden="false" customHeight="false" outlineLevel="0" collapsed="false">
      <c r="B34" s="9" t="s">
        <v>57</v>
      </c>
      <c r="C34" s="9" t="s">
        <v>40</v>
      </c>
      <c r="D34" s="9" t="s">
        <v>65</v>
      </c>
      <c r="E34" s="10"/>
      <c r="F34" s="9" t="s">
        <v>23</v>
      </c>
      <c r="G34" s="9" t="s">
        <v>44</v>
      </c>
      <c r="H34" s="9" t="s">
        <v>59</v>
      </c>
      <c r="I34" s="9"/>
      <c r="J34" s="10"/>
    </row>
    <row r="35" customFormat="false" ht="15" hidden="false" customHeight="false" outlineLevel="0" collapsed="false">
      <c r="B35" s="7" t="s">
        <v>66</v>
      </c>
      <c r="C35" s="7" t="s">
        <v>67</v>
      </c>
      <c r="D35" s="7" t="s">
        <v>68</v>
      </c>
      <c r="E35" s="8"/>
      <c r="F35" s="7" t="s">
        <v>23</v>
      </c>
      <c r="G35" s="7" t="s">
        <v>33</v>
      </c>
      <c r="H35" s="7" t="s">
        <v>69</v>
      </c>
      <c r="I35" s="7"/>
      <c r="J35" s="8"/>
    </row>
    <row r="36" customFormat="false" ht="15" hidden="false" customHeight="false" outlineLevel="0" collapsed="false">
      <c r="B36" s="9" t="s">
        <v>66</v>
      </c>
      <c r="C36" s="9" t="s">
        <v>52</v>
      </c>
      <c r="D36" s="9" t="s">
        <v>70</v>
      </c>
      <c r="E36" s="10"/>
      <c r="F36" s="9" t="s">
        <v>23</v>
      </c>
      <c r="G36" s="9" t="s">
        <v>33</v>
      </c>
      <c r="H36" s="9" t="s">
        <v>69</v>
      </c>
      <c r="I36" s="9"/>
      <c r="J36" s="10"/>
    </row>
    <row r="37" customFormat="false" ht="15" hidden="false" customHeight="false" outlineLevel="0" collapsed="false">
      <c r="B37" s="7" t="s">
        <v>66</v>
      </c>
      <c r="C37" s="7" t="s">
        <v>29</v>
      </c>
      <c r="D37" s="7" t="s">
        <v>71</v>
      </c>
      <c r="E37" s="8"/>
      <c r="F37" s="7" t="s">
        <v>23</v>
      </c>
      <c r="G37" s="7" t="s">
        <v>44</v>
      </c>
      <c r="H37" s="7" t="s">
        <v>69</v>
      </c>
      <c r="I37" s="7"/>
      <c r="J37" s="8"/>
    </row>
    <row r="38" customFormat="false" ht="15" hidden="false" customHeight="false" outlineLevel="0" collapsed="false">
      <c r="B38" s="9" t="s">
        <v>66</v>
      </c>
      <c r="C38" s="9" t="s">
        <v>27</v>
      </c>
      <c r="D38" s="9" t="s">
        <v>72</v>
      </c>
      <c r="E38" s="10"/>
      <c r="F38" s="9" t="s">
        <v>23</v>
      </c>
      <c r="G38" s="9" t="s">
        <v>44</v>
      </c>
      <c r="H38" s="9" t="s">
        <v>69</v>
      </c>
      <c r="I38" s="9"/>
      <c r="J38" s="10"/>
    </row>
    <row r="39" customFormat="false" ht="15" hidden="false" customHeight="false" outlineLevel="0" collapsed="false">
      <c r="B39" s="7" t="s">
        <v>66</v>
      </c>
      <c r="C39" s="7" t="s">
        <v>40</v>
      </c>
      <c r="D39" s="7" t="s">
        <v>73</v>
      </c>
      <c r="E39" s="8"/>
      <c r="F39" s="7" t="s">
        <v>23</v>
      </c>
      <c r="G39" s="7" t="s">
        <v>44</v>
      </c>
      <c r="H39" s="7" t="s">
        <v>69</v>
      </c>
      <c r="I39" s="7"/>
      <c r="J39" s="8"/>
    </row>
    <row r="40" customFormat="false" ht="15" hidden="false" customHeight="false" outlineLevel="0" collapsed="false">
      <c r="B40" s="9" t="s">
        <v>74</v>
      </c>
      <c r="C40" s="9" t="s">
        <v>67</v>
      </c>
      <c r="D40" s="9" t="s">
        <v>75</v>
      </c>
      <c r="E40" s="10"/>
      <c r="F40" s="9" t="s">
        <v>23</v>
      </c>
      <c r="G40" s="9" t="s">
        <v>33</v>
      </c>
      <c r="H40" s="9" t="s">
        <v>76</v>
      </c>
      <c r="I40" s="9"/>
      <c r="J40" s="10"/>
    </row>
    <row r="41" customFormat="false" ht="15" hidden="false" customHeight="false" outlineLevel="0" collapsed="false">
      <c r="B41" s="7" t="s">
        <v>74</v>
      </c>
      <c r="C41" s="7" t="s">
        <v>27</v>
      </c>
      <c r="D41" s="7" t="s">
        <v>77</v>
      </c>
      <c r="E41" s="8"/>
      <c r="F41" s="7" t="s">
        <v>23</v>
      </c>
      <c r="G41" s="7" t="s">
        <v>33</v>
      </c>
      <c r="H41" s="7" t="s">
        <v>76</v>
      </c>
      <c r="I41" s="7"/>
      <c r="J41" s="8"/>
    </row>
    <row r="42" customFormat="false" ht="15" hidden="false" customHeight="false" outlineLevel="0" collapsed="false">
      <c r="B42" s="9" t="s">
        <v>74</v>
      </c>
      <c r="C42" s="9" t="s">
        <v>29</v>
      </c>
      <c r="D42" s="9" t="s">
        <v>78</v>
      </c>
      <c r="E42" s="10"/>
      <c r="F42" s="9" t="s">
        <v>23</v>
      </c>
      <c r="G42" s="9" t="s">
        <v>44</v>
      </c>
      <c r="H42" s="9" t="s">
        <v>76</v>
      </c>
      <c r="I42" s="9"/>
      <c r="J42" s="10"/>
    </row>
  </sheetData>
  <mergeCells count="2">
    <mergeCell ref="B2:K2"/>
    <mergeCell ref="B6:F6"/>
  </mergeCells>
  <conditionalFormatting sqref="F7">
    <cfRule type="dataBar" priority="2">
      <dataBar showValue="1" minLength="10" maxLength="90">
        <cfvo type="num" val="0"/>
        <cfvo type="num" val="1"/>
        <color rgb="FF4A90D9"/>
      </dataBar>
      <extLst>
        <ext xmlns:x14="http://schemas.microsoft.com/office/spreadsheetml/2009/9/main" uri="{B025F937-C7B1-47D3-B67F-A62EFF666E3E}">
          <x14:id>{A04ABC4B-1459-4E19-84D0-619833BB84E7}</x14:id>
        </ext>
      </extLst>
    </cfRule>
  </conditionalFormatting>
  <conditionalFormatting sqref="F11:F211">
    <cfRule type="expression" priority="3" aboveAverage="0" equalAverage="0" bottom="0" percent="0" rank="0" text="" dxfId="0">
      <formula>F11="Terminé"</formula>
    </cfRule>
    <cfRule type="expression" priority="4" aboveAverage="0" equalAverage="0" bottom="0" percent="0" rank="0" text="" dxfId="1">
      <formula>F11="En cours"</formula>
    </cfRule>
    <cfRule type="expression" priority="5" aboveAverage="0" equalAverage="0" bottom="0" percent="0" rank="0" text="" dxfId="2">
      <formula>F11="Bloqué"</formula>
    </cfRule>
    <cfRule type="expression" priority="6" aboveAverage="0" equalAverage="0" bottom="0" percent="0" rank="0" text="" dxfId="3">
      <formula>F11="Reporté"</formula>
    </cfRule>
  </conditionalFormatting>
  <conditionalFormatting sqref="G11:G211">
    <cfRule type="expression" priority="7" aboveAverage="0" equalAverage="0" bottom="0" percent="0" rank="0" text="" dxfId="2">
      <formula>G11="Critique"</formula>
    </cfRule>
    <cfRule type="expression" priority="8" aboveAverage="0" equalAverage="0" bottom="0" percent="0" rank="0" text="" dxfId="4">
      <formula>G11="Haute"</formula>
    </cfRule>
  </conditionalFormatting>
  <dataValidations count="2">
    <dataValidation allowBlank="true" errorStyle="stop" operator="between" showDropDown="false" showErrorMessage="false" showInputMessage="false" sqref="F11:F211" type="list">
      <formula1>"À faire,En cours,Terminé,Bloqué,Reporté"</formula1>
      <formula2>0</formula2>
    </dataValidation>
    <dataValidation allowBlank="true" errorStyle="stop" operator="between" showDropDown="false" showErrorMessage="false" showInputMessage="false" sqref="G11:G211" type="list">
      <formula1>"Critique,Haute,Moyenne,Basse"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ABC4B-1459-4E19-84D0-619833BB84E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A90D9"/>
              <x14:axisColor rgb="FF000000"/>
            </x14:dataBar>
          </x14:cfRule>
          <xm:sqref>F7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2026-02-03T04:20:28Z</dcterms:created>
  <dc:creator>openpyxl</dc:creator>
  <dc:description/>
  <dc:language>en-US</dc:language>
  <cp:lastModifiedBy/>
  <dcterms:modified xsi:type="dcterms:W3CDTF">2026-02-03T04:20:28Z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