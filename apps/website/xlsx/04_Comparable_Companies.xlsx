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arable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<sst xmlns="http://schemas.openxmlformats.org/spreadsheetml/2006/main" count="89" uniqueCount="69">
  <si>
    <t xml:space="preserve">ANALYSE DES SOCIÉTÉS COMPARABLES</t>
  </si>
  <si>
    <t xml:space="preserve">Entreprise cible :</t>
  </si>
  <si>
    <t xml:space="preserve">[Nom de l'entreprise]</t>
  </si>
  <si>
    <t xml:space="preserve">Secteur :</t>
  </si>
  <si>
    <t xml:space="preserve">[Secteur]</t>
  </si>
  <si>
    <t xml:space="preserve">Date d'analyse :</t>
  </si>
  <si>
    <t xml:space="preserve">[JJ/MM/AAAA]</t>
  </si>
  <si>
    <t xml:space="preserve">SOCIÉTÉ CIBLE</t>
  </si>
  <si>
    <t xml:space="preserve">SOCIÉTÉS COMPARABLES</t>
  </si>
  <si>
    <t xml:space="preserve">Métrique</t>
  </si>
  <si>
    <t xml:space="preserve">Valeur</t>
  </si>
  <si>
    <t xml:space="preserve">Unité</t>
  </si>
  <si>
    <t xml:space="preserve">Entreprise</t>
  </si>
  <si>
    <t xml:space="preserve">Pays</t>
  </si>
  <si>
    <t xml:space="preserve">CA (M€)</t>
  </si>
  <si>
    <t xml:space="preserve">Croissance</t>
  </si>
  <si>
    <t xml:space="preserve">EBITDA M</t>
  </si>
  <si>
    <t xml:space="preserve">Marge %</t>
  </si>
  <si>
    <t xml:space="preserve">EV/EBITDA</t>
  </si>
  <si>
    <t xml:space="preserve">EV/Sales</t>
  </si>
  <si>
    <t xml:space="preserve">Commentaire</t>
  </si>
  <si>
    <t xml:space="preserve">Chiffre d'affaires</t>
  </si>
  <si>
    <t xml:space="preserve">k€</t>
  </si>
  <si>
    <t xml:space="preserve">[Société A]</t>
  </si>
  <si>
    <t xml:space="preserve">FR</t>
  </si>
  <si>
    <t xml:space="preserve">[Commentaire]</t>
  </si>
  <si>
    <t xml:space="preserve">Croissance CA (3 ans)</t>
  </si>
  <si>
    <t xml:space="preserve">%</t>
  </si>
  <si>
    <t xml:space="preserve">[Société B]</t>
  </si>
  <si>
    <t xml:space="preserve">DE</t>
  </si>
  <si>
    <t xml:space="preserve">EBITDA</t>
  </si>
  <si>
    <t xml:space="preserve">[Société C]</t>
  </si>
  <si>
    <t xml:space="preserve">UK</t>
  </si>
  <si>
    <t xml:space="preserve">Marge EBITDA</t>
  </si>
  <si>
    <t xml:space="preserve">[Société D]</t>
  </si>
  <si>
    <t xml:space="preserve">EBIT</t>
  </si>
  <si>
    <t xml:space="preserve">[Société E]</t>
  </si>
  <si>
    <t xml:space="preserve">NL</t>
  </si>
  <si>
    <t xml:space="preserve">Résultat net</t>
  </si>
  <si>
    <t xml:space="preserve">[Société F]</t>
  </si>
  <si>
    <t xml:space="preserve">BE</t>
  </si>
  <si>
    <t xml:space="preserve">Dette nette</t>
  </si>
  <si>
    <t xml:space="preserve">[Société G]</t>
  </si>
  <si>
    <t xml:space="preserve">ES</t>
  </si>
  <si>
    <t xml:space="preserve">Effectif</t>
  </si>
  <si>
    <t xml:space="preserve">personnes</t>
  </si>
  <si>
    <t xml:space="preserve">[Société H]</t>
  </si>
  <si>
    <t xml:space="preserve">IT</t>
  </si>
  <si>
    <t xml:space="preserve">STATISTIQUES DES COMPARABLES</t>
  </si>
  <si>
    <t xml:space="preserve">Médiane</t>
  </si>
  <si>
    <t xml:space="preserve">Moyenne</t>
  </si>
  <si>
    <t xml:space="preserve">Min</t>
  </si>
  <si>
    <t xml:space="preserve">Max</t>
  </si>
  <si>
    <t xml:space="preserve">Écart-type</t>
  </si>
  <si>
    <t xml:space="preserve">Croissance CA</t>
  </si>
  <si>
    <t xml:space="preserve">VALORISATION PAR LES COMPARABLES</t>
  </si>
  <si>
    <t xml:space="preserve">Méthode</t>
  </si>
  <si>
    <t xml:space="preserve">Multiple</t>
  </si>
  <si>
    <t xml:space="preserve">Base cible</t>
  </si>
  <si>
    <t xml:space="preserve">Valorisation</t>
  </si>
  <si>
    <t xml:space="preserve">EV/EBITDA (Médiane)</t>
  </si>
  <si>
    <t xml:space="preserve">Basée sur médiane</t>
  </si>
  <si>
    <t xml:space="preserve">EV/EBITDA (Moyenne)</t>
  </si>
  <si>
    <t xml:space="preserve">Basée sur moyenne</t>
  </si>
  <si>
    <t xml:space="preserve">EV/Sales (Médiane)</t>
  </si>
  <si>
    <t xml:space="preserve">EV/Sales (Moyenne)</t>
  </si>
  <si>
    <t xml:space="preserve">VALORISATION FINALE</t>
  </si>
  <si>
    <t xml:space="preserve">Moyenne des méthodes :</t>
  </si>
  <si>
    <t xml:space="preserve">Fourchette :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</si>
</sst>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%"/>
    <numFmt numFmtId="167" formatCode="0.0\x"/>
    <numFmt numFmtId="168" formatCode="#,##0&quot; k€&quot;"/>
  </numFmts>
  <fonts count="12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F4E79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66CC"/>
      <name val="Cambria"/>
      <family val="0"/>
      <charset val="1"/>
    </font>
    <font>
      <b val="true"/>
      <sz val="14"/>
      <color rgb="FFFFFFFF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2"/>
      <color rgb="FF1F4E79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2"/>
      <color rgb="FF0066CC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F9F9F9"/>
        <bgColor rgb="FFFFFFFF"/>
      </patternFill>
    </fill>
    <fill>
      <patternFill patternType="solid">
        <fgColor rgb="FFFFF3E0"/>
        <bgColor rgb="FFF9F9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E0"/>
      <rgbColor rgb="FFF9F9F9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P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4" min="3" style="0" width="12"/>
    <col collapsed="false" customWidth="true" hidden="false" outlineLevel="0" max="5" min="5" style="0" width="15"/>
    <col collapsed="false" customWidth="true" hidden="false" outlineLevel="0" max="6" min="6" style="0" width="25"/>
    <col collapsed="false" customWidth="true" hidden="false" outlineLevel="0" max="7" min="7" style="0" width="3"/>
    <col collapsed="false" customWidth="true" hidden="false" outlineLevel="0" max="8" min="8" style="0" width="18"/>
    <col collapsed="false" customWidth="true" hidden="false" outlineLevel="0" max="9" min="9" style="0" width="8"/>
    <col collapsed="false" customWidth="true" hidden="false" outlineLevel="0" max="12" min="10" style="0" width="12"/>
    <col collapsed="false" customWidth="true" hidden="false" outlineLevel="0" max="13" min="13" style="0" width="10"/>
    <col collapsed="false" customWidth="true" hidden="false" outlineLevel="0" max="15" min="14" style="0" width="12"/>
    <col collapsed="false" customWidth="true" hidden="false" outlineLevel="0" max="16" min="16" style="0" width="20"/>
  </cols>
  <sheetData>
    <row r="2" customFormat="false" ht="34.5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4" customFormat="false" ht="15" hidden="false" customHeight="false" outlineLevel="0" collapsed="false">
      <c r="B4" s="2" t="s">
        <v>1</v>
      </c>
      <c r="C4" s="3" t="s">
        <v>2</v>
      </c>
      <c r="E4" s="2" t="s">
        <v>3</v>
      </c>
      <c r="F4" s="3" t="s">
        <v>4</v>
      </c>
      <c r="H4" s="2" t="s">
        <v>5</v>
      </c>
      <c r="I4" s="3" t="s">
        <v>6</v>
      </c>
    </row>
    <row r="6" customFormat="false" ht="24.75" hidden="false" customHeight="true" outlineLevel="0" collapsed="false">
      <c r="B6" s="4" t="s">
        <v>7</v>
      </c>
      <c r="C6" s="4"/>
      <c r="D6" s="4"/>
      <c r="E6" s="4"/>
      <c r="F6" s="4"/>
      <c r="H6" s="4" t="s">
        <v>8</v>
      </c>
      <c r="I6" s="4"/>
      <c r="J6" s="4"/>
      <c r="K6" s="4"/>
      <c r="L6" s="4"/>
      <c r="M6" s="4"/>
      <c r="N6" s="4"/>
      <c r="O6" s="4"/>
    </row>
    <row r="7" customFormat="false" ht="15" hidden="false" customHeight="false" outlineLevel="0" collapsed="false">
      <c r="B7" s="5" t="s">
        <v>9</v>
      </c>
      <c r="C7" s="5" t="s">
        <v>10</v>
      </c>
      <c r="D7" s="5" t="s">
        <v>11</v>
      </c>
      <c r="H7" s="6" t="s">
        <v>12</v>
      </c>
      <c r="I7" s="6" t="s">
        <v>13</v>
      </c>
      <c r="J7" s="6" t="s">
        <v>14</v>
      </c>
      <c r="K7" s="6" t="s">
        <v>15</v>
      </c>
      <c r="L7" s="6" t="s">
        <v>16</v>
      </c>
      <c r="M7" s="6" t="s">
        <v>17</v>
      </c>
      <c r="N7" s="6" t="s">
        <v>18</v>
      </c>
      <c r="O7" s="6" t="s">
        <v>19</v>
      </c>
      <c r="P7" s="6" t="s">
        <v>20</v>
      </c>
    </row>
    <row r="8" customFormat="false" ht="15" hidden="false" customHeight="false" outlineLevel="0" collapsed="false">
      <c r="B8" s="7" t="s">
        <v>21</v>
      </c>
      <c r="C8" s="8" t="n">
        <v>5000</v>
      </c>
      <c r="D8" s="7" t="s">
        <v>22</v>
      </c>
      <c r="H8" s="7" t="s">
        <v>23</v>
      </c>
      <c r="I8" s="9" t="s">
        <v>24</v>
      </c>
      <c r="J8" s="10" t="n">
        <v>120</v>
      </c>
      <c r="K8" s="11" t="n">
        <v>0.12</v>
      </c>
      <c r="L8" s="10" t="n">
        <v>18</v>
      </c>
      <c r="M8" s="11" t="n">
        <v>0.15</v>
      </c>
      <c r="N8" s="12" t="n">
        <v>8.5</v>
      </c>
      <c r="O8" s="12" t="n">
        <v>1.2</v>
      </c>
      <c r="P8" s="13" t="s">
        <v>25</v>
      </c>
    </row>
    <row r="9" customFormat="false" ht="15" hidden="false" customHeight="false" outlineLevel="0" collapsed="false">
      <c r="B9" s="7" t="s">
        <v>26</v>
      </c>
      <c r="C9" s="14" t="n">
        <v>0.15</v>
      </c>
      <c r="D9" s="7" t="s">
        <v>27</v>
      </c>
      <c r="H9" s="15" t="s">
        <v>28</v>
      </c>
      <c r="I9" s="16" t="s">
        <v>29</v>
      </c>
      <c r="J9" s="17" t="n">
        <v>200</v>
      </c>
      <c r="K9" s="18" t="n">
        <v>0.18</v>
      </c>
      <c r="L9" s="17" t="n">
        <v>35</v>
      </c>
      <c r="M9" s="18" t="n">
        <v>0.175</v>
      </c>
      <c r="N9" s="19" t="n">
        <v>9.2</v>
      </c>
      <c r="O9" s="19" t="n">
        <v>1.5</v>
      </c>
      <c r="P9" s="20" t="s">
        <v>25</v>
      </c>
    </row>
    <row r="10" customFormat="false" ht="15" hidden="false" customHeight="false" outlineLevel="0" collapsed="false">
      <c r="B10" s="7" t="s">
        <v>30</v>
      </c>
      <c r="C10" s="8" t="n">
        <v>750</v>
      </c>
      <c r="D10" s="7" t="s">
        <v>22</v>
      </c>
      <c r="H10" s="7" t="s">
        <v>31</v>
      </c>
      <c r="I10" s="9" t="s">
        <v>32</v>
      </c>
      <c r="J10" s="10" t="n">
        <v>350</v>
      </c>
      <c r="K10" s="11" t="n">
        <v>0.22</v>
      </c>
      <c r="L10" s="10" t="n">
        <v>63</v>
      </c>
      <c r="M10" s="11" t="n">
        <v>0.18</v>
      </c>
      <c r="N10" s="12" t="n">
        <v>7.8</v>
      </c>
      <c r="O10" s="12" t="n">
        <v>1.4</v>
      </c>
      <c r="P10" s="13" t="s">
        <v>25</v>
      </c>
    </row>
    <row r="11" customFormat="false" ht="15" hidden="false" customHeight="false" outlineLevel="0" collapsed="false">
      <c r="B11" s="7" t="s">
        <v>33</v>
      </c>
      <c r="C11" s="14" t="n">
        <v>0.15</v>
      </c>
      <c r="D11" s="7" t="s">
        <v>27</v>
      </c>
      <c r="H11" s="15" t="s">
        <v>34</v>
      </c>
      <c r="I11" s="16" t="s">
        <v>24</v>
      </c>
      <c r="J11" s="17" t="n">
        <v>80</v>
      </c>
      <c r="K11" s="18" t="n">
        <v>0.08</v>
      </c>
      <c r="L11" s="17" t="n">
        <v>10</v>
      </c>
      <c r="M11" s="18" t="n">
        <v>0.125</v>
      </c>
      <c r="N11" s="19" t="n">
        <v>6.5</v>
      </c>
      <c r="O11" s="19" t="n">
        <v>0.9</v>
      </c>
      <c r="P11" s="20" t="s">
        <v>25</v>
      </c>
    </row>
    <row r="12" customFormat="false" ht="15" hidden="false" customHeight="false" outlineLevel="0" collapsed="false">
      <c r="B12" s="7" t="s">
        <v>35</v>
      </c>
      <c r="C12" s="8" t="n">
        <v>500</v>
      </c>
      <c r="D12" s="7" t="s">
        <v>22</v>
      </c>
      <c r="H12" s="7" t="s">
        <v>36</v>
      </c>
      <c r="I12" s="9" t="s">
        <v>37</v>
      </c>
      <c r="J12" s="10" t="n">
        <v>250</v>
      </c>
      <c r="K12" s="11" t="n">
        <v>0.15</v>
      </c>
      <c r="L12" s="10" t="n">
        <v>50</v>
      </c>
      <c r="M12" s="11" t="n">
        <v>0.2</v>
      </c>
      <c r="N12" s="12" t="n">
        <v>8</v>
      </c>
      <c r="O12" s="12" t="n">
        <v>1.6</v>
      </c>
      <c r="P12" s="13" t="s">
        <v>25</v>
      </c>
    </row>
    <row r="13" customFormat="false" ht="15" hidden="false" customHeight="false" outlineLevel="0" collapsed="false">
      <c r="B13" s="7" t="s">
        <v>38</v>
      </c>
      <c r="C13" s="8" t="n">
        <v>350</v>
      </c>
      <c r="D13" s="7" t="s">
        <v>22</v>
      </c>
      <c r="H13" s="15" t="s">
        <v>39</v>
      </c>
      <c r="I13" s="16" t="s">
        <v>40</v>
      </c>
      <c r="J13" s="17" t="n">
        <v>180</v>
      </c>
      <c r="K13" s="18" t="n">
        <v>0.14</v>
      </c>
      <c r="L13" s="17" t="n">
        <v>32</v>
      </c>
      <c r="M13" s="18" t="n">
        <v>0.178</v>
      </c>
      <c r="N13" s="19" t="n">
        <v>7.5</v>
      </c>
      <c r="O13" s="19" t="n">
        <v>1.3</v>
      </c>
      <c r="P13" s="20" t="s">
        <v>25</v>
      </c>
    </row>
    <row r="14" customFormat="false" ht="15" hidden="false" customHeight="false" outlineLevel="0" collapsed="false">
      <c r="B14" s="7" t="s">
        <v>41</v>
      </c>
      <c r="C14" s="8" t="n">
        <v>1000</v>
      </c>
      <c r="D14" s="7" t="s">
        <v>22</v>
      </c>
      <c r="H14" s="7" t="s">
        <v>42</v>
      </c>
      <c r="I14" s="9" t="s">
        <v>43</v>
      </c>
      <c r="J14" s="10" t="n">
        <v>150</v>
      </c>
      <c r="K14" s="11" t="n">
        <v>0.1</v>
      </c>
      <c r="L14" s="10" t="n">
        <v>22</v>
      </c>
      <c r="M14" s="11" t="n">
        <v>0.147</v>
      </c>
      <c r="N14" s="12" t="n">
        <v>8</v>
      </c>
      <c r="O14" s="12" t="n">
        <v>1.1</v>
      </c>
      <c r="P14" s="13" t="s">
        <v>25</v>
      </c>
    </row>
    <row r="15" customFormat="false" ht="15" hidden="false" customHeight="false" outlineLevel="0" collapsed="false">
      <c r="B15" s="7" t="s">
        <v>44</v>
      </c>
      <c r="C15" s="8" t="n">
        <v>50</v>
      </c>
      <c r="D15" s="7" t="s">
        <v>45</v>
      </c>
      <c r="H15" s="15" t="s">
        <v>46</v>
      </c>
      <c r="I15" s="16" t="s">
        <v>47</v>
      </c>
      <c r="J15" s="17" t="n">
        <v>220</v>
      </c>
      <c r="K15" s="18" t="n">
        <v>0.16</v>
      </c>
      <c r="L15" s="17" t="n">
        <v>40</v>
      </c>
      <c r="M15" s="18" t="n">
        <v>0.182</v>
      </c>
      <c r="N15" s="19" t="n">
        <v>8.8</v>
      </c>
      <c r="O15" s="19" t="n">
        <v>1.5</v>
      </c>
      <c r="P15" s="20" t="s">
        <v>25</v>
      </c>
    </row>
    <row r="18" customFormat="false" ht="15" hidden="false" customHeight="false" outlineLevel="0" collapsed="false">
      <c r="B18" s="21" t="s">
        <v>48</v>
      </c>
      <c r="C18" s="21"/>
      <c r="D18" s="21"/>
      <c r="E18" s="21"/>
      <c r="F18" s="21"/>
    </row>
    <row r="19" customFormat="false" ht="15" hidden="false" customHeight="false" outlineLevel="0" collapsed="false">
      <c r="B19" s="5" t="s">
        <v>9</v>
      </c>
      <c r="C19" s="5" t="s">
        <v>49</v>
      </c>
      <c r="D19" s="5" t="s">
        <v>50</v>
      </c>
      <c r="E19" s="5" t="s">
        <v>51</v>
      </c>
      <c r="F19" s="5" t="s">
        <v>52</v>
      </c>
      <c r="G19" s="5" t="s">
        <v>53</v>
      </c>
    </row>
    <row r="20" customFormat="false" ht="15" hidden="false" customHeight="false" outlineLevel="0" collapsed="false">
      <c r="B20" s="7" t="s">
        <v>54</v>
      </c>
      <c r="C20" s="11" t="n">
        <f aca="false">MEDIAN(K8:K15)</f>
        <v>0.145</v>
      </c>
      <c r="D20" s="11" t="n">
        <f aca="false">AVERAGE(K8:K15)</f>
        <v>0.14375</v>
      </c>
      <c r="E20" s="11" t="n">
        <f aca="false">MIN(K8:K15)</f>
        <v>0.08</v>
      </c>
      <c r="F20" s="11" t="n">
        <f aca="false">MAX(K8:K15)</f>
        <v>0.22</v>
      </c>
      <c r="G20" s="11" t="n">
        <f aca="false">STDEV(K8:K15)</f>
        <v>0.0447013901988997</v>
      </c>
    </row>
    <row r="21" customFormat="false" ht="15" hidden="false" customHeight="false" outlineLevel="0" collapsed="false">
      <c r="B21" s="7" t="s">
        <v>33</v>
      </c>
      <c r="C21" s="11" t="n">
        <f aca="false">MEDIAN(M8:M15)</f>
        <v>0.1765</v>
      </c>
      <c r="D21" s="11" t="n">
        <f aca="false">AVERAGE(M8:M15)</f>
        <v>0.167125</v>
      </c>
      <c r="E21" s="11" t="n">
        <f aca="false">MIN(M8:M15)</f>
        <v>0.125</v>
      </c>
      <c r="F21" s="11" t="n">
        <f aca="false">MAX(M8:M15)</f>
        <v>0.2</v>
      </c>
      <c r="G21" s="11" t="n">
        <f aca="false">STDEV(M8:M15)</f>
        <v>0.0242630671715558</v>
      </c>
    </row>
    <row r="22" customFormat="false" ht="15" hidden="false" customHeight="false" outlineLevel="0" collapsed="false">
      <c r="B22" s="7" t="s">
        <v>18</v>
      </c>
      <c r="C22" s="12" t="n">
        <f aca="false">MEDIAN(N8:N15)</f>
        <v>8</v>
      </c>
      <c r="D22" s="12" t="n">
        <f aca="false">AVERAGE(N8:N15)</f>
        <v>8.0375</v>
      </c>
      <c r="E22" s="12" t="n">
        <f aca="false">MIN(N8:N15)</f>
        <v>6.5</v>
      </c>
      <c r="F22" s="12" t="n">
        <f aca="false">MAX(N8:N15)</f>
        <v>9.2</v>
      </c>
      <c r="G22" s="12" t="n">
        <f aca="false">STDEV(N8:N15)</f>
        <v>0.833130927800152</v>
      </c>
    </row>
    <row r="23" customFormat="false" ht="15" hidden="false" customHeight="false" outlineLevel="0" collapsed="false">
      <c r="B23" s="7" t="s">
        <v>19</v>
      </c>
      <c r="C23" s="12" t="n">
        <f aca="false">MEDIAN(O8:O15)</f>
        <v>1.35</v>
      </c>
      <c r="D23" s="12" t="n">
        <f aca="false">AVERAGE(O8:O15)</f>
        <v>1.3125</v>
      </c>
      <c r="E23" s="12" t="n">
        <f aca="false">MIN(O8:O15)</f>
        <v>0.9</v>
      </c>
      <c r="F23" s="12" t="n">
        <f aca="false">MAX(O8:O15)</f>
        <v>1.6</v>
      </c>
      <c r="G23" s="12" t="n">
        <f aca="false">STDEV(O8:O15)</f>
        <v>0.23566016694748</v>
      </c>
    </row>
    <row r="25" customFormat="false" ht="15" hidden="false" customHeight="false" outlineLevel="0" collapsed="false">
      <c r="B25" s="21" t="s">
        <v>55</v>
      </c>
      <c r="C25" s="21"/>
      <c r="D25" s="21"/>
      <c r="E25" s="21"/>
      <c r="F25" s="21"/>
    </row>
    <row r="26" customFormat="false" ht="15" hidden="false" customHeight="false" outlineLevel="0" collapsed="false">
      <c r="B26" s="5" t="s">
        <v>56</v>
      </c>
      <c r="C26" s="5" t="s">
        <v>57</v>
      </c>
      <c r="D26" s="5" t="s">
        <v>58</v>
      </c>
      <c r="E26" s="5" t="s">
        <v>59</v>
      </c>
      <c r="F26" s="5" t="s">
        <v>20</v>
      </c>
    </row>
    <row r="27" customFormat="false" ht="15" hidden="false" customHeight="false" outlineLevel="0" collapsed="false">
      <c r="B27" s="7" t="s">
        <v>60</v>
      </c>
      <c r="C27" s="12" t="n">
        <f aca="false">D21</f>
        <v>0.167125</v>
      </c>
      <c r="D27" s="10" t="n">
        <f aca="false">C10</f>
        <v>750</v>
      </c>
      <c r="E27" s="10" t="n">
        <f aca="false">C28*D28</f>
        <v>6028.125</v>
      </c>
      <c r="F27" s="7" t="s">
        <v>61</v>
      </c>
    </row>
    <row r="28" customFormat="false" ht="15" hidden="false" customHeight="false" outlineLevel="0" collapsed="false">
      <c r="B28" s="7" t="s">
        <v>62</v>
      </c>
      <c r="C28" s="12" t="n">
        <f aca="false">D22</f>
        <v>8.0375</v>
      </c>
      <c r="D28" s="10" t="n">
        <f aca="false">C10</f>
        <v>750</v>
      </c>
      <c r="E28" s="10" t="n">
        <f aca="false">C29*D29</f>
        <v>6562.5</v>
      </c>
      <c r="F28" s="7" t="s">
        <v>63</v>
      </c>
    </row>
    <row r="29" customFormat="false" ht="15" hidden="false" customHeight="false" outlineLevel="0" collapsed="false">
      <c r="B29" s="7" t="s">
        <v>64</v>
      </c>
      <c r="C29" s="12" t="n">
        <f aca="false">D23</f>
        <v>1.3125</v>
      </c>
      <c r="D29" s="10" t="n">
        <f aca="false">C8</f>
        <v>5000</v>
      </c>
      <c r="E29" s="10" t="n">
        <f aca="false">C30*D30</f>
        <v>0</v>
      </c>
      <c r="F29" s="7" t="s">
        <v>61</v>
      </c>
    </row>
    <row r="30" customFormat="false" ht="15" hidden="false" customHeight="false" outlineLevel="0" collapsed="false">
      <c r="B30" s="7" t="s">
        <v>65</v>
      </c>
      <c r="C30" s="12" t="n">
        <f aca="false">D24</f>
        <v>0</v>
      </c>
      <c r="D30" s="10" t="n">
        <f aca="false">C8</f>
        <v>5000</v>
      </c>
      <c r="E30" s="10" t="n">
        <f aca="false">C31*D31</f>
        <v>0</v>
      </c>
      <c r="F30" s="7" t="s">
        <v>63</v>
      </c>
    </row>
    <row r="32" customFormat="false" ht="15" hidden="false" customHeight="false" outlineLevel="0" collapsed="false">
      <c r="B32" s="22" t="s">
        <v>66</v>
      </c>
    </row>
    <row r="33" customFormat="false" ht="15" hidden="false" customHeight="false" outlineLevel="0" collapsed="false">
      <c r="B33" s="2" t="s">
        <v>67</v>
      </c>
      <c r="C33" s="23" t="n">
        <f aca="false">AVERAGE(E28:E31)</f>
        <v>2187.5</v>
      </c>
    </row>
    <row r="34" customFormat="false" ht="15" hidden="false" customHeight="false" outlineLevel="0" collapsed="false">
      <c r="B34" s="2" t="s">
        <v>68</v>
      </c>
      <c r="C34" s="24" t="n">
        <f aca="false">MIN(E28:E31)</f>
        <v>0</v>
      </c>
    </row>
    <row r="35" customFormat="false" ht="15" hidden="false" customHeight="false" outlineLevel="0" collapsed="false">
      <c r="C35" s="24" t="n">
        <f aca="false">MAX(E28:E31)</f>
        <v>6562.5</v>
      </c>
    </row>
  </sheetData>
  <mergeCells count="5">
    <mergeCell ref="B2:O2"/>
    <mergeCell ref="B6:F6"/>
    <mergeCell ref="H6:O6"/>
    <mergeCell ref="B18:F18"/>
    <mergeCell ref="B25:F25"/>
  </mergeCells>
  <conditionalFormatting sqref="N8:N15">
    <cfRule type="dataBar" priority="2">
      <dataBar showValue="1" minLength="10" maxLength="90">
        <cfvo type="min" val="0"/>
        <cfvo type="max" val="0"/>
        <color rgb="FF4A90D9"/>
      </dataBar>
      <extLst>
        <ext xmlns:x14="http://schemas.microsoft.com/office/spreadsheetml/2009/9/main" uri="{B025F937-C7B1-47D3-B67F-A62EFF666E3E}">
          <x14:id>{328B6D13-F07F-4CAB-A7DA-2978BF751B10}</x14:id>
        </ext>
      </extLst>
    </cfRule>
  </conditionalFormatting>
  <conditionalFormatting sqref="O8:O15">
    <cfRule type="dataBar" priority="3">
      <dataBar showValue="1" minLength="10" maxLength="90">
        <cfvo type="min" val="0"/>
        <cfvo type="max" val="0"/>
        <color rgb="FF63BE7B"/>
      </dataBar>
      <extLst>
        <ext xmlns:x14="http://schemas.microsoft.com/office/spreadsheetml/2009/9/main" uri="{B025F937-C7B1-47D3-B67F-A62EFF666E3E}">
          <x14:id>{A0AAF3EF-775E-4DBE-8AE4-B8F1E09163C6}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28B6D13-F07F-4CAB-A7DA-2978BF751B10}">
            <x14:dataBar minLength="10" maxLength="90" axisPosition="none" gradient="true">
              <x14:cfvo type="min"/>
              <x14:cfvo type="max"/>
              <x14:negativeFillColor rgb="FF4A90D9"/>
              <x14:axisColor rgb="FF000000"/>
            </x14:dataBar>
          </x14:cfRule>
          <xm:sqref>N8:N15</xm:sqref>
        </x14:conditionalFormatting>
        <x14:conditionalFormatting xmlns:xm="http://schemas.microsoft.com/office/excel/2006/main">
          <x14:cfRule type="dataBar" id="{A0AAF3EF-775E-4DBE-8AE4-B8F1E09163C6}">
            <x14:dataBar minLength="10" maxLength="90" axisPosition="none" gradient="true">
              <x14:cfvo type="min"/>
              <x14:cfvo type="max"/>
              <x14:negativeFillColor rgb="FF63BE7B"/>
              <x14:axisColor rgb="FF000000"/>
            </x14:dataBar>
          </x14:cfRule>
          <xm:sqref>O8:O15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2026-02-03T04:14:12Z</dcterms:created>
  <dc:creator>openpyxl</dc:creator>
  <dc:description/>
  <dc:language>en-US</dc:language>
  <cp:lastModifiedBy/>
  <dcterms:modified xsi:type="dcterms:W3CDTF">2026-02-03T04:14:12Z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