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<sst xmlns="http://schemas.openxmlformats.org/spreadsheetml/2006/main" count="78" uniqueCount="58">
  <si>
    <t xml:space="preserve">PIPELINE DE TRANSACTIONS M&amp;A</t>
  </si>
  <si>
    <t xml:space="preserve">RÉCAPITULATIF DU PIPELINE</t>
  </si>
  <si>
    <t xml:space="preserve">Total opportunités :</t>
  </si>
  <si>
    <t xml:space="preserve">Valeur totale pipeline :</t>
  </si>
  <si>
    <t xml:space="preserve">En prospection :</t>
  </si>
  <si>
    <t xml:space="preserve">En due diligence :</t>
  </si>
  <si>
    <t xml:space="preserve">En négociation :</t>
  </si>
  <si>
    <t xml:space="preserve">Closing imminent :</t>
  </si>
  <si>
    <t xml:space="preserve">Gagnées :</t>
  </si>
  <si>
    <t xml:space="preserve">Perdues :</t>
  </si>
  <si>
    <t xml:space="preserve">N°</t>
  </si>
  <si>
    <t xml:space="preserve">Date entrée</t>
  </si>
  <si>
    <t xml:space="preserve">Entreprise</t>
  </si>
  <si>
    <t xml:space="preserve">Secteur</t>
  </si>
  <si>
    <t xml:space="preserve">Type</t>
  </si>
  <si>
    <t xml:space="preserve">Statut</t>
  </si>
  <si>
    <t xml:space="preserve">Responsable</t>
  </si>
  <si>
    <t xml:space="preserve">Valeur estimée (k€)</t>
  </si>
  <si>
    <t xml:space="preserve">Probabilité</t>
  </si>
  <si>
    <t xml:space="preserve">Valeur pondérée</t>
  </si>
  <si>
    <t xml:space="preserve">Date cible</t>
  </si>
  <si>
    <t xml:space="preserve">Commentaires</t>
  </si>
  <si>
    <t xml:space="preserve">01/01/2024</t>
  </si>
  <si>
    <t xml:space="preserve">[Entreprise A]</t>
  </si>
  <si>
    <t xml:space="preserve">Industrie</t>
  </si>
  <si>
    <t xml:space="preserve">Cession</t>
  </si>
  <si>
    <t xml:space="preserve">Due Diligence</t>
  </si>
  <si>
    <t xml:space="preserve">[Conseiller]</t>
  </si>
  <si>
    <t xml:space="preserve">30/06/2024</t>
  </si>
  <si>
    <t xml:space="preserve">[Commentaire]</t>
  </si>
  <si>
    <t xml:space="preserve">15/01/2024</t>
  </si>
  <si>
    <t xml:space="preserve">[Entreprise B]</t>
  </si>
  <si>
    <t xml:space="preserve">Services</t>
  </si>
  <si>
    <t xml:space="preserve">Acquisition</t>
  </si>
  <si>
    <t xml:space="preserve">Prospection</t>
  </si>
  <si>
    <t xml:space="preserve">31/12/2024</t>
  </si>
  <si>
    <t xml:space="preserve">01/02/2024</t>
  </si>
  <si>
    <t xml:space="preserve">[Entreprise C]</t>
  </si>
  <si>
    <t xml:space="preserve">Tech</t>
  </si>
  <si>
    <t xml:space="preserve">LBO</t>
  </si>
  <si>
    <t xml:space="preserve">Négociation</t>
  </si>
  <si>
    <t xml:space="preserve">30/09/2024</t>
  </si>
  <si>
    <t xml:space="preserve">15/02/2024</t>
  </si>
  <si>
    <t xml:space="preserve">[Entreprise D]</t>
  </si>
  <si>
    <t xml:space="preserve">Santé</t>
  </si>
  <si>
    <t xml:space="preserve">31/03/2025</t>
  </si>
  <si>
    <t xml:space="preserve">01/03/2024</t>
  </si>
  <si>
    <t xml:space="preserve">[Entreprise E]</t>
  </si>
  <si>
    <t xml:space="preserve">Retail</t>
  </si>
  <si>
    <t xml:space="preserve">Fusion</t>
  </si>
  <si>
    <t xml:space="preserve">Closing</t>
  </si>
  <si>
    <t xml:space="preserve">15/03/2024</t>
  </si>
  <si>
    <t xml:space="preserve">[Entreprise F]</t>
  </si>
  <si>
    <t xml:space="preserve">BTP</t>
  </si>
  <si>
    <t xml:space="preserve">01/04/2024</t>
  </si>
  <si>
    <t xml:space="preserve">[Entreprise G]</t>
  </si>
  <si>
    <t xml:space="preserve">Conseil</t>
  </si>
  <si>
    <t xml:space="preserve">30/11/2024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</si>
</sst>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&quot; k€&quot;"/>
    <numFmt numFmtId="167" formatCode="#,##0"/>
    <numFmt numFmtId="168" formatCode="0%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9999FF"/>
      <rgbColor rgb="FF993366"/>
      <rgbColor rgb="FFF9F9F9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2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</row>
    <row r="5" customFormat="false" ht="15" hidden="false" customHeight="false" outlineLevel="0" collapsed="false">
      <c r="B5" s="3" t="s">
        <v>2</v>
      </c>
      <c r="C5" s="4" t="n">
        <f aca="false">COUNTA(C8:C100)</f>
        <v>13</v>
      </c>
    </row>
    <row r="6" customFormat="false" ht="15" hidden="false" customHeight="false" outlineLevel="0" collapsed="false">
      <c r="B6" s="3" t="s">
        <v>3</v>
      </c>
      <c r="C6" s="5" t="n">
        <f aca="false">SUM(I8:I100)</f>
        <v>54500</v>
      </c>
    </row>
    <row r="7" customFormat="false" ht="15" hidden="false" customHeight="false" outlineLevel="0" collapsed="false">
      <c r="B7" s="3" t="s">
        <v>4</v>
      </c>
      <c r="C7" s="4" t="n">
        <f aca="false">COUNTIF(F8:F100,"Prospection")</f>
        <v>0</v>
      </c>
    </row>
    <row r="8" customFormat="false" ht="15" hidden="false" customHeight="false" outlineLevel="0" collapsed="false">
      <c r="B8" s="3" t="s">
        <v>5</v>
      </c>
      <c r="C8" s="4" t="n">
        <f aca="false">COUNTIF(F8:F100,"Due Diligence")</f>
        <v>0</v>
      </c>
    </row>
    <row r="9" customFormat="false" ht="15" hidden="false" customHeight="false" outlineLevel="0" collapsed="false">
      <c r="B9" s="3" t="s">
        <v>6</v>
      </c>
      <c r="C9" s="4" t="n">
        <f aca="false">COUNTIF(F8:F100,"Négociation")</f>
        <v>0</v>
      </c>
    </row>
    <row r="10" customFormat="false" ht="15" hidden="false" customHeight="false" outlineLevel="0" collapsed="false">
      <c r="B10" s="3" t="s">
        <v>7</v>
      </c>
      <c r="C10" s="4" t="n">
        <f aca="false">COUNTIF(F8:F100,"Closing")</f>
        <v>0</v>
      </c>
    </row>
    <row r="11" customFormat="false" ht="15" hidden="false" customHeight="false" outlineLevel="0" collapsed="false">
      <c r="B11" s="3" t="s">
        <v>8</v>
      </c>
      <c r="C11" s="4" t="n">
        <f aca="false">COUNTIF(F8:F100,"Gagnée")</f>
        <v>0</v>
      </c>
    </row>
    <row r="12" customFormat="false" ht="15" hidden="false" customHeight="false" outlineLevel="0" collapsed="false">
      <c r="B12" s="3" t="s">
        <v>9</v>
      </c>
      <c r="C12" s="4" t="n">
        <f aca="false">COUNTIF(F8:F100,"Perdue")</f>
        <v>0</v>
      </c>
    </row>
    <row r="14" customFormat="false" ht="30" hidden="false" customHeight="true" outlineLevel="0" collapsed="false"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19</v>
      </c>
      <c r="L14" s="6" t="s">
        <v>20</v>
      </c>
      <c r="M14" s="6" t="s">
        <v>21</v>
      </c>
    </row>
    <row r="15" customFormat="false" ht="15" hidden="false" customHeight="false" outlineLevel="0" collapsed="false">
      <c r="B15" s="7" t="n">
        <v>1</v>
      </c>
      <c r="C15" s="7" t="s">
        <v>22</v>
      </c>
      <c r="D15" s="8" t="s">
        <v>23</v>
      </c>
      <c r="E15" s="9" t="s">
        <v>24</v>
      </c>
      <c r="F15" s="9" t="s">
        <v>25</v>
      </c>
      <c r="G15" s="9" t="s">
        <v>26</v>
      </c>
      <c r="H15" s="8" t="s">
        <v>27</v>
      </c>
      <c r="I15" s="10" t="n">
        <v>5000</v>
      </c>
      <c r="J15" s="11" t="n">
        <v>0.6</v>
      </c>
      <c r="K15" s="10" t="n">
        <f aca="false">I15*J15</f>
        <v>3000</v>
      </c>
      <c r="L15" s="7" t="s">
        <v>28</v>
      </c>
      <c r="M15" s="8" t="s">
        <v>29</v>
      </c>
    </row>
    <row r="16" customFormat="false" ht="15" hidden="false" customHeight="false" outlineLevel="0" collapsed="false">
      <c r="B16" s="12" t="n">
        <v>2</v>
      </c>
      <c r="C16" s="12" t="s">
        <v>30</v>
      </c>
      <c r="D16" s="13" t="s">
        <v>31</v>
      </c>
      <c r="E16" s="14" t="s">
        <v>32</v>
      </c>
      <c r="F16" s="14" t="s">
        <v>33</v>
      </c>
      <c r="G16" s="14" t="s">
        <v>34</v>
      </c>
      <c r="H16" s="13" t="s">
        <v>27</v>
      </c>
      <c r="I16" s="15" t="n">
        <v>8000</v>
      </c>
      <c r="J16" s="16" t="n">
        <v>0.3</v>
      </c>
      <c r="K16" s="15" t="n">
        <f aca="false">I16*J16</f>
        <v>2400</v>
      </c>
      <c r="L16" s="12" t="s">
        <v>35</v>
      </c>
      <c r="M16" s="13" t="s">
        <v>29</v>
      </c>
    </row>
    <row r="17" customFormat="false" ht="15" hidden="false" customHeight="false" outlineLevel="0" collapsed="false">
      <c r="B17" s="7" t="n">
        <v>3</v>
      </c>
      <c r="C17" s="7" t="s">
        <v>36</v>
      </c>
      <c r="D17" s="8" t="s">
        <v>37</v>
      </c>
      <c r="E17" s="9" t="s">
        <v>38</v>
      </c>
      <c r="F17" s="9" t="s">
        <v>39</v>
      </c>
      <c r="G17" s="9" t="s">
        <v>40</v>
      </c>
      <c r="H17" s="8" t="s">
        <v>27</v>
      </c>
      <c r="I17" s="10" t="n">
        <v>12000</v>
      </c>
      <c r="J17" s="11" t="n">
        <v>0.75</v>
      </c>
      <c r="K17" s="10" t="n">
        <f aca="false">I17*J17</f>
        <v>9000</v>
      </c>
      <c r="L17" s="7" t="s">
        <v>41</v>
      </c>
      <c r="M17" s="8" t="s">
        <v>29</v>
      </c>
    </row>
    <row r="18" customFormat="false" ht="15" hidden="false" customHeight="false" outlineLevel="0" collapsed="false">
      <c r="B18" s="12" t="n">
        <v>4</v>
      </c>
      <c r="C18" s="12" t="s">
        <v>42</v>
      </c>
      <c r="D18" s="13" t="s">
        <v>43</v>
      </c>
      <c r="E18" s="14" t="s">
        <v>44</v>
      </c>
      <c r="F18" s="14" t="s">
        <v>25</v>
      </c>
      <c r="G18" s="14" t="s">
        <v>34</v>
      </c>
      <c r="H18" s="13" t="s">
        <v>27</v>
      </c>
      <c r="I18" s="15" t="n">
        <v>3500</v>
      </c>
      <c r="J18" s="16" t="n">
        <v>0.2</v>
      </c>
      <c r="K18" s="15" t="n">
        <f aca="false">I18*J18</f>
        <v>700</v>
      </c>
      <c r="L18" s="12" t="s">
        <v>45</v>
      </c>
      <c r="M18" s="13" t="s">
        <v>29</v>
      </c>
    </row>
    <row r="19" customFormat="false" ht="15" hidden="false" customHeight="false" outlineLevel="0" collapsed="false">
      <c r="B19" s="7" t="n">
        <v>5</v>
      </c>
      <c r="C19" s="7" t="s">
        <v>46</v>
      </c>
      <c r="D19" s="8" t="s">
        <v>47</v>
      </c>
      <c r="E19" s="9" t="s">
        <v>48</v>
      </c>
      <c r="F19" s="9" t="s">
        <v>49</v>
      </c>
      <c r="G19" s="9" t="s">
        <v>50</v>
      </c>
      <c r="H19" s="8" t="s">
        <v>27</v>
      </c>
      <c r="I19" s="10" t="n">
        <v>15000</v>
      </c>
      <c r="J19" s="11" t="n">
        <v>0.9</v>
      </c>
      <c r="K19" s="10" t="n">
        <f aca="false">I19*J19</f>
        <v>13500</v>
      </c>
      <c r="L19" s="7" t="s">
        <v>28</v>
      </c>
      <c r="M19" s="8" t="s">
        <v>29</v>
      </c>
    </row>
    <row r="20" customFormat="false" ht="15" hidden="false" customHeight="false" outlineLevel="0" collapsed="false">
      <c r="B20" s="12" t="n">
        <v>6</v>
      </c>
      <c r="C20" s="12" t="s">
        <v>51</v>
      </c>
      <c r="D20" s="13" t="s">
        <v>52</v>
      </c>
      <c r="E20" s="14" t="s">
        <v>53</v>
      </c>
      <c r="F20" s="14" t="s">
        <v>25</v>
      </c>
      <c r="G20" s="14" t="s">
        <v>34</v>
      </c>
      <c r="H20" s="13" t="s">
        <v>27</v>
      </c>
      <c r="I20" s="15" t="n">
        <v>4200</v>
      </c>
      <c r="J20" s="16" t="n">
        <v>0.25</v>
      </c>
      <c r="K20" s="15" t="n">
        <f aca="false">I20*J20</f>
        <v>1050</v>
      </c>
      <c r="L20" s="12" t="s">
        <v>35</v>
      </c>
      <c r="M20" s="13" t="s">
        <v>29</v>
      </c>
    </row>
    <row r="21" customFormat="false" ht="15" hidden="false" customHeight="false" outlineLevel="0" collapsed="false">
      <c r="B21" s="7" t="n">
        <v>7</v>
      </c>
      <c r="C21" s="7" t="s">
        <v>54</v>
      </c>
      <c r="D21" s="8" t="s">
        <v>55</v>
      </c>
      <c r="E21" s="9" t="s">
        <v>56</v>
      </c>
      <c r="F21" s="9" t="s">
        <v>39</v>
      </c>
      <c r="G21" s="9" t="s">
        <v>26</v>
      </c>
      <c r="H21" s="8" t="s">
        <v>27</v>
      </c>
      <c r="I21" s="10" t="n">
        <v>6800</v>
      </c>
      <c r="J21" s="11" t="n">
        <v>0.55</v>
      </c>
      <c r="K21" s="10" t="n">
        <f aca="false">I21*J21</f>
        <v>3740</v>
      </c>
      <c r="L21" s="7" t="s">
        <v>57</v>
      </c>
      <c r="M21" s="8" t="s">
        <v>29</v>
      </c>
    </row>
  </sheetData>
  <mergeCells count="2">
    <mergeCell ref="B2:O2"/>
    <mergeCell ref="B4:F4"/>
  </mergeCells>
  <conditionalFormatting sqref="G15:G65">
    <cfRule type="expression" priority="2" aboveAverage="0" equalAverage="0" bottom="0" percent="0" rank="0" text="" dxfId="0">
      <formula>G15="Gagnée"</formula>
    </cfRule>
    <cfRule type="expression" priority="3" aboveAverage="0" equalAverage="0" bottom="0" percent="0" rank="0" text="" dxfId="1">
      <formula>G15="Closing"</formula>
    </cfRule>
    <cfRule type="expression" priority="4" aboveAverage="0" equalAverage="0" bottom="0" percent="0" rank="0" text="" dxfId="2">
      <formula>G15="Négociation"</formula>
    </cfRule>
    <cfRule type="expression" priority="5" aboveAverage="0" equalAverage="0" bottom="0" percent="0" rank="0" text="" dxfId="3">
      <formula>G15="Due Diligence"</formula>
    </cfRule>
    <cfRule type="expression" priority="6" aboveAverage="0" equalAverage="0" bottom="0" percent="0" rank="0" text="" dxfId="4">
      <formula>G15="Perdue"</formula>
    </cfRule>
  </conditionalFormatting>
  <conditionalFormatting sqref="J15:J65">
    <cfRule type="dataBar" priority="7">
      <dataBar showValue="1" minLength="10" maxLength="90">
        <cfvo type="num" val="0"/>
        <cfvo type="num" val="1"/>
        <color rgb="FF4A90D9"/>
      </dataBar>
      <extLst>
        <ext xmlns:x14="http://schemas.microsoft.com/office/spreadsheetml/2009/9/main" uri="{B025F937-C7B1-47D3-B67F-A62EFF666E3E}">
          <x14:id>{7030B1DF-74E8-4FB7-BB79-D310698BE9B9}</x14:id>
        </ext>
      </extLst>
    </cfRule>
  </conditionalFormatting>
  <conditionalFormatting sqref="I15:I65">
    <cfRule type="dataBar" priority="8">
      <dataBar showValue="1" minLength="10" maxLength="90">
        <cfvo type="min" val="0"/>
        <cfvo type="max" val="0"/>
        <color rgb="FF63BE7B"/>
      </dataBar>
      <extLst>
        <ext xmlns:x14="http://schemas.microsoft.com/office/spreadsheetml/2009/9/main" uri="{B025F937-C7B1-47D3-B67F-A62EFF666E3E}">
          <x14:id>{BB1920A5-55B9-4111-8A65-61FFF740144D}</x14:id>
        </ext>
      </extLst>
    </cfRule>
  </conditionalFormatting>
  <dataValidations count="2">
    <dataValidation allowBlank="true" errorStyle="stop" operator="between" showDropDown="false" showErrorMessage="false" showInputMessage="false" sqref="G15:G65" type="list">
      <formula1>"Prospection,Due Diligence,Négociation,Closing,Gagnée,Perdue,En pause"</formula1>
      <formula2>0</formula2>
    </dataValidation>
    <dataValidation allowBlank="true" errorStyle="stop" operator="between" showDropDown="false" showErrorMessage="false" showInputMessage="false" sqref="F15:F65" type="list">
      <formula1>"Cession,Acquisition,LBO,Fusion,Augmentation capital"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30B1DF-74E8-4FB7-BB79-D310698BE9B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A90D9"/>
              <x14:axisColor rgb="FF000000"/>
            </x14:dataBar>
          </x14:cfRule>
          <xm:sqref>J15:J65</xm:sqref>
        </x14:conditionalFormatting>
        <x14:conditionalFormatting xmlns:xm="http://schemas.microsoft.com/office/excel/2006/main">
          <x14:cfRule type="dataBar" id="{BB1920A5-55B9-4111-8A65-61FFF740144D}">
            <x14:dataBar minLength="10" maxLength="90" axisPosition="none" gradient="true">
              <x14:cfvo type="min"/>
              <x14:cfvo type="max"/>
              <x14:negativeFillColor rgb="FF63BE7B"/>
              <x14:axisColor rgb="FF000000"/>
            </x14:dataBar>
          </x14:cfRule>
          <xm:sqref>I15:I65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2026-02-03T04:15:04Z</dcterms:created>
  <dc:creator>openpyxl</dc:creator>
  <dc:description/>
  <dc:language>en-US</dc:language>
  <cp:lastModifiedBy/>
  <dcterms:modified xsi:type="dcterms:W3CDTF">2026-02-03T04:15:04Z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