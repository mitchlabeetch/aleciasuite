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Due Diligence" sheetId="1" state="visible" r:id="rId2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<sst xmlns="http://schemas.openxmlformats.org/spreadsheetml/2006/main" count="271" uniqueCount="101">
  <si>
    <t xml:space="preserve">LISTE DE CONTRÔLE DUE DILIGENCE - M&amp;A</t>
  </si>
  <si>
    <t xml:space="preserve">Nom de la cible :</t>
  </si>
  <si>
    <t xml:space="preserve">[Nom de l'entreprise]</t>
  </si>
  <si>
    <t xml:space="preserve">Conseiller :</t>
  </si>
  <si>
    <t xml:space="preserve">[Nom du conseiller]</t>
  </si>
  <si>
    <t xml:space="preserve">RÉCAPITULATIF</t>
  </si>
  <si>
    <t xml:space="preserve">Secteur :</t>
  </si>
  <si>
    <t xml:space="preserve">[Secteur d'activité]</t>
  </si>
  <si>
    <t xml:space="preserve">Échéance :</t>
  </si>
  <si>
    <t xml:space="preserve">[JJ/MM/AAAA]</t>
  </si>
  <si>
    <t xml:space="preserve">Date de début :</t>
  </si>
  <si>
    <t xml:space="preserve">Total points :</t>
  </si>
  <si>
    <t xml:space="preserve">Terminés :</t>
  </si>
  <si>
    <t xml:space="preserve">Catégorie</t>
  </si>
  <si>
    <t xml:space="preserve">Sous-catégorie</t>
  </si>
  <si>
    <t xml:space="preserve">Point de contrôle</t>
  </si>
  <si>
    <t xml:space="preserve">Responsable</t>
  </si>
  <si>
    <t xml:space="preserve">Statut</t>
  </si>
  <si>
    <t xml:space="preserve">Priorité</t>
  </si>
  <si>
    <t xml:space="preserve">Date début</t>
  </si>
  <si>
    <t xml:space="preserve">Date fin</t>
  </si>
  <si>
    <t xml:space="preserve">Commentaires</t>
  </si>
  <si>
    <t xml:space="preserve">En cours :</t>
  </si>
  <si>
    <t xml:space="preserve">FINANCIER</t>
  </si>
  <si>
    <t xml:space="preserve">États financiers</t>
  </si>
  <si>
    <t xml:space="preserve">Bilan des 3 dernières années</t>
  </si>
  <si>
    <t xml:space="preserve">Non démarré</t>
  </si>
  <si>
    <t xml:space="preserve">Haute</t>
  </si>
  <si>
    <t xml:space="preserve">Bloqués :</t>
  </si>
  <si>
    <t xml:space="preserve">Compte de résultat détaillé</t>
  </si>
  <si>
    <t xml:space="preserve">Progression :</t>
  </si>
  <si>
    <t xml:space="preserve">Tableau de flux de trésorerie</t>
  </si>
  <si>
    <t xml:space="preserve">Annexes comptables</t>
  </si>
  <si>
    <t xml:space="preserve">Moyenne</t>
  </si>
  <si>
    <t xml:space="preserve">Budget &amp; Prévisions</t>
  </si>
  <si>
    <t xml:space="preserve">Business plan 3-5 ans</t>
  </si>
  <si>
    <t xml:space="preserve">Budget annuel détaillé</t>
  </si>
  <si>
    <t xml:space="preserve">Écarts budget/réalisé</t>
  </si>
  <si>
    <t xml:space="preserve">Trésorerie</t>
  </si>
  <si>
    <t xml:space="preserve">Relevés bancaires (12 mois)</t>
  </si>
  <si>
    <t xml:space="preserve">Tableau de financement</t>
  </si>
  <si>
    <t xml:space="preserve">Lignes de crédit et engagements</t>
  </si>
  <si>
    <t xml:space="preserve">Fiscalité</t>
  </si>
  <si>
    <t xml:space="preserve">Déclarations fiscales (3 ans)</t>
  </si>
  <si>
    <t xml:space="preserve">Contrôles fiscaux en cours</t>
  </si>
  <si>
    <t xml:space="preserve">Critique</t>
  </si>
  <si>
    <t xml:space="preserve">Rulings et accords préalables</t>
  </si>
  <si>
    <t xml:space="preserve">JURIDIQUE</t>
  </si>
  <si>
    <t xml:space="preserve">Structure sociétaire</t>
  </si>
  <si>
    <t xml:space="preserve">Kbis et statuts</t>
  </si>
  <si>
    <t xml:space="preserve">PV AGE/AGO (3 ans)</t>
  </si>
  <si>
    <t xml:space="preserve">Registre des actionnaires</t>
  </si>
  <si>
    <t xml:space="preserve">Contrats majeurs</t>
  </si>
  <si>
    <t xml:space="preserve">Contrats clients significatifs</t>
  </si>
  <si>
    <t xml:space="preserve">Contrats fournisseurs</t>
  </si>
  <si>
    <t xml:space="preserve">Contrats de crédit-bail</t>
  </si>
  <si>
    <t xml:space="preserve">Accords de confidentialité</t>
  </si>
  <si>
    <t xml:space="preserve">Contentieux</t>
  </si>
  <si>
    <t xml:space="preserve">Litiges en cours</t>
  </si>
  <si>
    <t xml:space="preserve">Litiges potentiels</t>
  </si>
  <si>
    <t xml:space="preserve">Procédures collectives</t>
  </si>
  <si>
    <t xml:space="preserve">Propriété intellectuelle</t>
  </si>
  <si>
    <t xml:space="preserve">Brevets et marques</t>
  </si>
  <si>
    <t xml:space="preserve">Logiciels et licences</t>
  </si>
  <si>
    <t xml:space="preserve">Contrats de licence</t>
  </si>
  <si>
    <t xml:space="preserve">COMMERCIAL</t>
  </si>
  <si>
    <t xml:space="preserve">Marché</t>
  </si>
  <si>
    <t xml:space="preserve">Étude de marché et tendances</t>
  </si>
  <si>
    <t xml:space="preserve">Analyse de la concurrence</t>
  </si>
  <si>
    <t xml:space="preserve">Clients</t>
  </si>
  <si>
    <t xml:space="preserve">Liste des principaux clients</t>
  </si>
  <si>
    <t xml:space="preserve">Concentration clientèle (top 10)</t>
  </si>
  <si>
    <t xml:space="preserve">Contrats-cadres clients</t>
  </si>
  <si>
    <t xml:space="preserve">Produits/Services</t>
  </si>
  <si>
    <t xml:space="preserve">Catalogue produits</t>
  </si>
  <si>
    <t xml:space="preserve">Roadmap produit</t>
  </si>
  <si>
    <t xml:space="preserve">Garanties et SAV</t>
  </si>
  <si>
    <t xml:space="preserve">Basse</t>
  </si>
  <si>
    <t xml:space="preserve">OPÉRATIONNEL</t>
  </si>
  <si>
    <t xml:space="preserve">Organisation</t>
  </si>
  <si>
    <t xml:space="preserve">Organigramme détaillé</t>
  </si>
  <si>
    <t xml:space="preserve">Fiches de poste clés</t>
  </si>
  <si>
    <t xml:space="preserve">Ressources humaines</t>
  </si>
  <si>
    <t xml:space="preserve">Effectifs et rémunérations</t>
  </si>
  <si>
    <t xml:space="preserve">Contrats de travail</t>
  </si>
  <si>
    <t xml:space="preserve">Accords d'intéressement</t>
  </si>
  <si>
    <t xml:space="preserve">Plan social éventuel</t>
  </si>
  <si>
    <t xml:space="preserve">Immobilier</t>
  </si>
  <si>
    <t xml:space="preserve">Bail commercial / titre de propriété</t>
  </si>
  <si>
    <t xml:space="preserve">État des lieux</t>
  </si>
  <si>
    <t xml:space="preserve">Systèmes IT</t>
  </si>
  <si>
    <t xml:space="preserve">Inventaire matériel</t>
  </si>
  <si>
    <t xml:space="preserve">Logiciels métiers</t>
  </si>
  <si>
    <t xml:space="preserve">Sécurité informatique</t>
  </si>
  <si>
    <t xml:space="preserve">ENVIRONNEMENTAL</t>
  </si>
  <si>
    <t xml:space="preserve">Réglementation</t>
  </si>
  <si>
    <t xml:space="preserve">Autorisations administratives</t>
  </si>
  <si>
    <t xml:space="preserve">Conformité environnementale</t>
  </si>
  <si>
    <t xml:space="preserve">RSE</t>
  </si>
  <si>
    <t xml:space="preserve">Politique RSE</t>
  </si>
  <si>
    <t xml:space="preserve">Certifications (ISO, etc.)</t>
  </si>
</sst>
</file>

<file path=xl/styles.xml><?xml version="1.0" encoding="utf-8"?>
<styleSheet xmlns="http://schemas.openxmlformats.org/spreadsheetml/2006/main">
  <numFmts count="1">
    <numFmt numFmtId="164" formatCode="General"/>
  </numFmts>
  <fonts count="10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20"/>
      <color rgb="FF1F4E79"/>
      <name val="Cambria"/>
      <family val="0"/>
      <charset val="1"/>
    </font>
    <font>
      <b val="true"/>
      <sz val="11"/>
      <name val="Cambria"/>
      <family val="0"/>
      <charset val="1"/>
    </font>
    <font>
      <sz val="11"/>
      <color rgb="FF0066CC"/>
      <name val="Cambria"/>
      <family val="0"/>
      <charset val="1"/>
    </font>
    <font>
      <b val="true"/>
      <sz val="12"/>
      <color rgb="FF1F4E79"/>
      <name val="Cambria"/>
      <family val="0"/>
      <charset val="1"/>
    </font>
    <font>
      <b val="true"/>
      <sz val="11"/>
      <color rgb="FFFFFFFF"/>
      <name val="Cambria"/>
      <family val="0"/>
      <charset val="1"/>
    </font>
    <font>
      <b val="true"/>
      <sz val="11"/>
      <color rgb="FF0066CC"/>
      <name val="Cambria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1F4E79"/>
        <bgColor rgb="FF003366"/>
      </patternFill>
    </fill>
    <fill>
      <patternFill patternType="solid">
        <fgColor rgb="FFF9F9F9"/>
        <bgColor rgb="FFFF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D0D0D0"/>
      </left>
      <right style="thin">
        <color rgb="FFD0D0D0"/>
      </right>
      <top style="thin">
        <color rgb="FFD0D0D0"/>
      </top>
      <bottom style="thin">
        <color rgb="FFD0D0D0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0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0" fillId="0" borderId="1" xfId="0" applyFont="fals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0" fillId="3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0" fillId="3" borderId="1" xfId="0" applyFont="fals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5">
    <dxf>
      <fill>
        <patternFill>
          <bgColor rgb="FFC6EFCE"/>
        </patternFill>
      </fill>
    </dxf>
    <dxf>
      <fill>
        <patternFill>
          <bgColor rgb="FFFFEB9C"/>
        </patternFill>
      </fill>
    </dxf>
    <dxf>
      <fill>
        <patternFill>
          <bgColor rgb="FFFFC7CE"/>
        </patternFill>
      </fill>
    </dxf>
    <dxf>
      <fill>
        <patternFill>
          <bgColor rgb="FFD9D9D9"/>
        </patternFill>
      </fill>
    </dxf>
    <dxf>
      <fill>
        <patternFill>
          <bgColor rgb="FFFFD966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D9D9D9"/>
      <rgbColor rgb="FF808080"/>
      <rgbColor rgb="FF9999FF"/>
      <rgbColor rgb="FF993366"/>
      <rgbColor rgb="FFF9F9F9"/>
      <rgbColor rgb="FFCCFFFF"/>
      <rgbColor rgb="FF660066"/>
      <rgbColor rgb="FFFF8080"/>
      <rgbColor rgb="FF0066CC"/>
      <rgbColor rgb="FFD0D0D0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6EFCE"/>
      <rgbColor rgb="FFFFEB9C"/>
      <rgbColor rgb="FF99CCFF"/>
      <rgbColor rgb="FFFF99CC"/>
      <rgbColor rgb="FFCC99FF"/>
      <rgbColor rgb="FFFFC7CE"/>
      <rgbColor rgb="FF3366FF"/>
      <rgbColor rgb="FF33CCCC"/>
      <rgbColor rgb="FF99CC00"/>
      <rgbColor rgb="FFFFD966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1F4E7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L57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1" ySplit="8" topLeftCell="B9" activePane="bottomRight" state="frozen"/>
      <selection pane="topLeft" activeCell="A1" activeCellId="0" sqref="A1"/>
      <selection pane="topRight" activeCell="B1" activeCellId="0" sqref="B1"/>
      <selection pane="bottomLeft" activeCell="A9" activeCellId="0" sqref="A9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18"/>
    <col collapsed="false" customWidth="true" hidden="false" outlineLevel="0" max="3" min="3" style="0" width="20"/>
    <col collapsed="false" customWidth="true" hidden="false" outlineLevel="0" max="4" min="4" style="0" width="35"/>
    <col collapsed="false" customWidth="true" hidden="false" outlineLevel="0" max="5" min="5" style="0" width="15"/>
    <col collapsed="false" customWidth="true" hidden="false" outlineLevel="0" max="6" min="6" style="0" width="12"/>
    <col collapsed="false" customWidth="true" hidden="false" outlineLevel="0" max="7" min="7" style="0" width="10"/>
    <col collapsed="false" customWidth="true" hidden="false" outlineLevel="0" max="9" min="8" style="0" width="12"/>
    <col collapsed="false" customWidth="true" hidden="false" outlineLevel="0" max="10" min="10" style="0" width="30"/>
  </cols>
  <sheetData>
    <row r="2" customFormat="false" ht="34.5" hidden="false" customHeight="true" outlineLevel="0" collapsed="false">
      <c r="B2" s="1" t="s">
        <v>0</v>
      </c>
      <c r="C2" s="1"/>
      <c r="D2" s="1"/>
      <c r="E2" s="1"/>
      <c r="F2" s="1"/>
      <c r="G2" s="1"/>
      <c r="H2" s="1"/>
      <c r="I2" s="1"/>
    </row>
    <row r="4" customFormat="false" ht="15" hidden="false" customHeight="false" outlineLevel="0" collapsed="false">
      <c r="B4" s="2" t="s">
        <v>1</v>
      </c>
      <c r="C4" s="2"/>
      <c r="D4" s="3" t="s">
        <v>2</v>
      </c>
      <c r="F4" s="2" t="s">
        <v>3</v>
      </c>
      <c r="G4" s="2"/>
      <c r="H4" s="3" t="s">
        <v>4</v>
      </c>
      <c r="K4" s="4" t="s">
        <v>5</v>
      </c>
    </row>
    <row r="5" customFormat="false" ht="15" hidden="false" customHeight="false" outlineLevel="0" collapsed="false">
      <c r="B5" s="2" t="s">
        <v>6</v>
      </c>
      <c r="C5" s="2"/>
      <c r="D5" s="3" t="s">
        <v>7</v>
      </c>
      <c r="F5" s="2" t="s">
        <v>8</v>
      </c>
      <c r="G5" s="2"/>
      <c r="H5" s="3" t="s">
        <v>9</v>
      </c>
    </row>
    <row r="6" customFormat="false" ht="15" hidden="false" customHeight="false" outlineLevel="0" collapsed="false">
      <c r="B6" s="2" t="s">
        <v>10</v>
      </c>
      <c r="C6" s="2"/>
      <c r="D6" s="3" t="s">
        <v>9</v>
      </c>
      <c r="K6" s="0" t="s">
        <v>11</v>
      </c>
      <c r="L6" s="0" t="n">
        <f aca="false">COUNTA(C9:C57)</f>
        <v>49</v>
      </c>
    </row>
    <row r="7" customFormat="false" ht="15" hidden="false" customHeight="false" outlineLevel="0" collapsed="false">
      <c r="K7" s="0" t="s">
        <v>12</v>
      </c>
      <c r="L7" s="0" t="n">
        <f aca="false">COUNTIF(E9:E57,"Terminé")</f>
        <v>0</v>
      </c>
    </row>
    <row r="8" customFormat="false" ht="30" hidden="false" customHeight="true" outlineLevel="0" collapsed="false">
      <c r="B8" s="5" t="s">
        <v>13</v>
      </c>
      <c r="C8" s="5" t="s">
        <v>14</v>
      </c>
      <c r="D8" s="5" t="s">
        <v>15</v>
      </c>
      <c r="E8" s="5" t="s">
        <v>16</v>
      </c>
      <c r="F8" s="5" t="s">
        <v>17</v>
      </c>
      <c r="G8" s="5" t="s">
        <v>18</v>
      </c>
      <c r="H8" s="5" t="s">
        <v>19</v>
      </c>
      <c r="I8" s="5" t="s">
        <v>20</v>
      </c>
      <c r="J8" s="5" t="s">
        <v>21</v>
      </c>
      <c r="K8" s="0" t="s">
        <v>22</v>
      </c>
      <c r="L8" s="0" t="n">
        <f aca="false">COUNTIF(E9:E57,"En cours")</f>
        <v>0</v>
      </c>
    </row>
    <row r="9" customFormat="false" ht="15" hidden="false" customHeight="false" outlineLevel="0" collapsed="false">
      <c r="B9" s="6" t="s">
        <v>23</v>
      </c>
      <c r="C9" s="6" t="s">
        <v>24</v>
      </c>
      <c r="D9" s="6" t="s">
        <v>25</v>
      </c>
      <c r="E9" s="7"/>
      <c r="F9" s="6" t="s">
        <v>26</v>
      </c>
      <c r="G9" s="6" t="s">
        <v>27</v>
      </c>
      <c r="H9" s="6"/>
      <c r="I9" s="6"/>
      <c r="J9" s="6"/>
      <c r="K9" s="0" t="s">
        <v>28</v>
      </c>
      <c r="L9" s="0" t="n">
        <f aca="false">COUNTIF(E9:E57,"Bloqué")</f>
        <v>0</v>
      </c>
    </row>
    <row r="10" customFormat="false" ht="15" hidden="false" customHeight="false" outlineLevel="0" collapsed="false">
      <c r="B10" s="8" t="s">
        <v>23</v>
      </c>
      <c r="C10" s="8" t="s">
        <v>24</v>
      </c>
      <c r="D10" s="8" t="s">
        <v>29</v>
      </c>
      <c r="E10" s="9"/>
      <c r="F10" s="8" t="s">
        <v>26</v>
      </c>
      <c r="G10" s="8" t="s">
        <v>27</v>
      </c>
      <c r="H10" s="8"/>
      <c r="I10" s="8"/>
      <c r="J10" s="8"/>
      <c r="K10" s="0" t="s">
        <v>30</v>
      </c>
      <c r="L10" s="10" t="str">
        <f aca="false">ROUND(L7/L6*100,1)&amp;"%"</f>
        <v>0%</v>
      </c>
    </row>
    <row r="11" customFormat="false" ht="15" hidden="false" customHeight="false" outlineLevel="0" collapsed="false">
      <c r="B11" s="6" t="s">
        <v>23</v>
      </c>
      <c r="C11" s="6" t="s">
        <v>24</v>
      </c>
      <c r="D11" s="6" t="s">
        <v>31</v>
      </c>
      <c r="E11" s="7"/>
      <c r="F11" s="6" t="s">
        <v>26</v>
      </c>
      <c r="G11" s="6" t="s">
        <v>27</v>
      </c>
      <c r="H11" s="6"/>
      <c r="I11" s="6"/>
      <c r="J11" s="6"/>
    </row>
    <row r="12" customFormat="false" ht="15" hidden="false" customHeight="false" outlineLevel="0" collapsed="false">
      <c r="B12" s="8" t="s">
        <v>23</v>
      </c>
      <c r="C12" s="8" t="s">
        <v>24</v>
      </c>
      <c r="D12" s="8" t="s">
        <v>32</v>
      </c>
      <c r="E12" s="9"/>
      <c r="F12" s="8" t="s">
        <v>26</v>
      </c>
      <c r="G12" s="8" t="s">
        <v>33</v>
      </c>
      <c r="H12" s="8"/>
      <c r="I12" s="8"/>
      <c r="J12" s="8"/>
    </row>
    <row r="13" customFormat="false" ht="15" hidden="false" customHeight="false" outlineLevel="0" collapsed="false">
      <c r="B13" s="6" t="s">
        <v>23</v>
      </c>
      <c r="C13" s="6" t="s">
        <v>34</v>
      </c>
      <c r="D13" s="6" t="s">
        <v>35</v>
      </c>
      <c r="E13" s="7"/>
      <c r="F13" s="6" t="s">
        <v>26</v>
      </c>
      <c r="G13" s="6" t="s">
        <v>27</v>
      </c>
      <c r="H13" s="6"/>
      <c r="I13" s="6"/>
      <c r="J13" s="6"/>
    </row>
    <row r="14" customFormat="false" ht="15" hidden="false" customHeight="false" outlineLevel="0" collapsed="false">
      <c r="B14" s="8" t="s">
        <v>23</v>
      </c>
      <c r="C14" s="8" t="s">
        <v>34</v>
      </c>
      <c r="D14" s="8" t="s">
        <v>36</v>
      </c>
      <c r="E14" s="9"/>
      <c r="F14" s="8" t="s">
        <v>26</v>
      </c>
      <c r="G14" s="8" t="s">
        <v>33</v>
      </c>
      <c r="H14" s="8"/>
      <c r="I14" s="8"/>
      <c r="J14" s="8"/>
    </row>
    <row r="15" customFormat="false" ht="15" hidden="false" customHeight="false" outlineLevel="0" collapsed="false">
      <c r="B15" s="6" t="s">
        <v>23</v>
      </c>
      <c r="C15" s="6" t="s">
        <v>34</v>
      </c>
      <c r="D15" s="6" t="s">
        <v>37</v>
      </c>
      <c r="E15" s="7"/>
      <c r="F15" s="6" t="s">
        <v>26</v>
      </c>
      <c r="G15" s="6" t="s">
        <v>33</v>
      </c>
      <c r="H15" s="6"/>
      <c r="I15" s="6"/>
      <c r="J15" s="6"/>
    </row>
    <row r="16" customFormat="false" ht="15" hidden="false" customHeight="false" outlineLevel="0" collapsed="false">
      <c r="B16" s="8" t="s">
        <v>23</v>
      </c>
      <c r="C16" s="8" t="s">
        <v>38</v>
      </c>
      <c r="D16" s="8" t="s">
        <v>39</v>
      </c>
      <c r="E16" s="9"/>
      <c r="F16" s="8" t="s">
        <v>26</v>
      </c>
      <c r="G16" s="8" t="s">
        <v>27</v>
      </c>
      <c r="H16" s="8"/>
      <c r="I16" s="8"/>
      <c r="J16" s="8"/>
    </row>
    <row r="17" customFormat="false" ht="15" hidden="false" customHeight="false" outlineLevel="0" collapsed="false">
      <c r="B17" s="6" t="s">
        <v>23</v>
      </c>
      <c r="C17" s="6" t="s">
        <v>38</v>
      </c>
      <c r="D17" s="6" t="s">
        <v>40</v>
      </c>
      <c r="E17" s="7"/>
      <c r="F17" s="6" t="s">
        <v>26</v>
      </c>
      <c r="G17" s="6" t="s">
        <v>33</v>
      </c>
      <c r="H17" s="6"/>
      <c r="I17" s="6"/>
      <c r="J17" s="6"/>
    </row>
    <row r="18" customFormat="false" ht="15" hidden="false" customHeight="false" outlineLevel="0" collapsed="false">
      <c r="B18" s="8" t="s">
        <v>23</v>
      </c>
      <c r="C18" s="8" t="s">
        <v>38</v>
      </c>
      <c r="D18" s="8" t="s">
        <v>41</v>
      </c>
      <c r="E18" s="9"/>
      <c r="F18" s="8" t="s">
        <v>26</v>
      </c>
      <c r="G18" s="8" t="s">
        <v>27</v>
      </c>
      <c r="H18" s="8"/>
      <c r="I18" s="8"/>
      <c r="J18" s="8"/>
    </row>
    <row r="19" customFormat="false" ht="15" hidden="false" customHeight="false" outlineLevel="0" collapsed="false">
      <c r="B19" s="6" t="s">
        <v>23</v>
      </c>
      <c r="C19" s="6" t="s">
        <v>42</v>
      </c>
      <c r="D19" s="6" t="s">
        <v>43</v>
      </c>
      <c r="E19" s="7"/>
      <c r="F19" s="6" t="s">
        <v>26</v>
      </c>
      <c r="G19" s="6" t="s">
        <v>27</v>
      </c>
      <c r="H19" s="6"/>
      <c r="I19" s="6"/>
      <c r="J19" s="6"/>
    </row>
    <row r="20" customFormat="false" ht="15" hidden="false" customHeight="false" outlineLevel="0" collapsed="false">
      <c r="B20" s="8" t="s">
        <v>23</v>
      </c>
      <c r="C20" s="8" t="s">
        <v>42</v>
      </c>
      <c r="D20" s="8" t="s">
        <v>44</v>
      </c>
      <c r="E20" s="9"/>
      <c r="F20" s="8" t="s">
        <v>26</v>
      </c>
      <c r="G20" s="8" t="s">
        <v>45</v>
      </c>
      <c r="H20" s="8"/>
      <c r="I20" s="8"/>
      <c r="J20" s="8"/>
    </row>
    <row r="21" customFormat="false" ht="15" hidden="false" customHeight="false" outlineLevel="0" collapsed="false">
      <c r="B21" s="6" t="s">
        <v>23</v>
      </c>
      <c r="C21" s="6" t="s">
        <v>42</v>
      </c>
      <c r="D21" s="6" t="s">
        <v>46</v>
      </c>
      <c r="E21" s="7"/>
      <c r="F21" s="6" t="s">
        <v>26</v>
      </c>
      <c r="G21" s="6" t="s">
        <v>33</v>
      </c>
      <c r="H21" s="6"/>
      <c r="I21" s="6"/>
      <c r="J21" s="6"/>
    </row>
    <row r="22" customFormat="false" ht="15" hidden="false" customHeight="false" outlineLevel="0" collapsed="false">
      <c r="B22" s="8" t="s">
        <v>47</v>
      </c>
      <c r="C22" s="8" t="s">
        <v>48</v>
      </c>
      <c r="D22" s="8" t="s">
        <v>49</v>
      </c>
      <c r="E22" s="9"/>
      <c r="F22" s="8" t="s">
        <v>26</v>
      </c>
      <c r="G22" s="8" t="s">
        <v>27</v>
      </c>
      <c r="H22" s="8"/>
      <c r="I22" s="8"/>
      <c r="J22" s="8"/>
    </row>
    <row r="23" customFormat="false" ht="15" hidden="false" customHeight="false" outlineLevel="0" collapsed="false">
      <c r="B23" s="6" t="s">
        <v>47</v>
      </c>
      <c r="C23" s="6" t="s">
        <v>48</v>
      </c>
      <c r="D23" s="6" t="s">
        <v>50</v>
      </c>
      <c r="E23" s="7"/>
      <c r="F23" s="6" t="s">
        <v>26</v>
      </c>
      <c r="G23" s="6" t="s">
        <v>27</v>
      </c>
      <c r="H23" s="6"/>
      <c r="I23" s="6"/>
      <c r="J23" s="6"/>
    </row>
    <row r="24" customFormat="false" ht="15" hidden="false" customHeight="false" outlineLevel="0" collapsed="false">
      <c r="B24" s="8" t="s">
        <v>47</v>
      </c>
      <c r="C24" s="8" t="s">
        <v>48</v>
      </c>
      <c r="D24" s="8" t="s">
        <v>51</v>
      </c>
      <c r="E24" s="9"/>
      <c r="F24" s="8" t="s">
        <v>26</v>
      </c>
      <c r="G24" s="8" t="s">
        <v>27</v>
      </c>
      <c r="H24" s="8"/>
      <c r="I24" s="8"/>
      <c r="J24" s="8"/>
    </row>
    <row r="25" customFormat="false" ht="15" hidden="false" customHeight="false" outlineLevel="0" collapsed="false">
      <c r="B25" s="6" t="s">
        <v>47</v>
      </c>
      <c r="C25" s="6" t="s">
        <v>52</v>
      </c>
      <c r="D25" s="6" t="s">
        <v>53</v>
      </c>
      <c r="E25" s="7"/>
      <c r="F25" s="6" t="s">
        <v>26</v>
      </c>
      <c r="G25" s="6" t="s">
        <v>27</v>
      </c>
      <c r="H25" s="6"/>
      <c r="I25" s="6"/>
      <c r="J25" s="6"/>
    </row>
    <row r="26" customFormat="false" ht="15" hidden="false" customHeight="false" outlineLevel="0" collapsed="false">
      <c r="B26" s="8" t="s">
        <v>47</v>
      </c>
      <c r="C26" s="8" t="s">
        <v>52</v>
      </c>
      <c r="D26" s="8" t="s">
        <v>54</v>
      </c>
      <c r="E26" s="9"/>
      <c r="F26" s="8" t="s">
        <v>26</v>
      </c>
      <c r="G26" s="8" t="s">
        <v>33</v>
      </c>
      <c r="H26" s="8"/>
      <c r="I26" s="8"/>
      <c r="J26" s="8"/>
    </row>
    <row r="27" customFormat="false" ht="15" hidden="false" customHeight="false" outlineLevel="0" collapsed="false">
      <c r="B27" s="6" t="s">
        <v>47</v>
      </c>
      <c r="C27" s="6" t="s">
        <v>52</v>
      </c>
      <c r="D27" s="6" t="s">
        <v>55</v>
      </c>
      <c r="E27" s="7"/>
      <c r="F27" s="6" t="s">
        <v>26</v>
      </c>
      <c r="G27" s="6" t="s">
        <v>33</v>
      </c>
      <c r="H27" s="6"/>
      <c r="I27" s="6"/>
      <c r="J27" s="6"/>
    </row>
    <row r="28" customFormat="false" ht="15" hidden="false" customHeight="false" outlineLevel="0" collapsed="false">
      <c r="B28" s="8" t="s">
        <v>47</v>
      </c>
      <c r="C28" s="8" t="s">
        <v>52</v>
      </c>
      <c r="D28" s="8" t="s">
        <v>56</v>
      </c>
      <c r="E28" s="9"/>
      <c r="F28" s="8" t="s">
        <v>26</v>
      </c>
      <c r="G28" s="8" t="s">
        <v>33</v>
      </c>
      <c r="H28" s="8"/>
      <c r="I28" s="8"/>
      <c r="J28" s="8"/>
    </row>
    <row r="29" customFormat="false" ht="15" hidden="false" customHeight="false" outlineLevel="0" collapsed="false">
      <c r="B29" s="6" t="s">
        <v>47</v>
      </c>
      <c r="C29" s="6" t="s">
        <v>57</v>
      </c>
      <c r="D29" s="6" t="s">
        <v>58</v>
      </c>
      <c r="E29" s="7"/>
      <c r="F29" s="6" t="s">
        <v>26</v>
      </c>
      <c r="G29" s="6" t="s">
        <v>45</v>
      </c>
      <c r="H29" s="6"/>
      <c r="I29" s="6"/>
      <c r="J29" s="6"/>
    </row>
    <row r="30" customFormat="false" ht="15" hidden="false" customHeight="false" outlineLevel="0" collapsed="false">
      <c r="B30" s="8" t="s">
        <v>47</v>
      </c>
      <c r="C30" s="8" t="s">
        <v>57</v>
      </c>
      <c r="D30" s="8" t="s">
        <v>59</v>
      </c>
      <c r="E30" s="9"/>
      <c r="F30" s="8" t="s">
        <v>26</v>
      </c>
      <c r="G30" s="8" t="s">
        <v>27</v>
      </c>
      <c r="H30" s="8"/>
      <c r="I30" s="8"/>
      <c r="J30" s="8"/>
    </row>
    <row r="31" customFormat="false" ht="15" hidden="false" customHeight="false" outlineLevel="0" collapsed="false">
      <c r="B31" s="6" t="s">
        <v>47</v>
      </c>
      <c r="C31" s="6" t="s">
        <v>57</v>
      </c>
      <c r="D31" s="6" t="s">
        <v>60</v>
      </c>
      <c r="E31" s="7"/>
      <c r="F31" s="6" t="s">
        <v>26</v>
      </c>
      <c r="G31" s="6" t="s">
        <v>45</v>
      </c>
      <c r="H31" s="6"/>
      <c r="I31" s="6"/>
      <c r="J31" s="6"/>
    </row>
    <row r="32" customFormat="false" ht="15" hidden="false" customHeight="false" outlineLevel="0" collapsed="false">
      <c r="B32" s="8" t="s">
        <v>47</v>
      </c>
      <c r="C32" s="8" t="s">
        <v>61</v>
      </c>
      <c r="D32" s="8" t="s">
        <v>62</v>
      </c>
      <c r="E32" s="9"/>
      <c r="F32" s="8" t="s">
        <v>26</v>
      </c>
      <c r="G32" s="8" t="s">
        <v>27</v>
      </c>
      <c r="H32" s="8"/>
      <c r="I32" s="8"/>
      <c r="J32" s="8"/>
    </row>
    <row r="33" customFormat="false" ht="15" hidden="false" customHeight="false" outlineLevel="0" collapsed="false">
      <c r="B33" s="6" t="s">
        <v>47</v>
      </c>
      <c r="C33" s="6" t="s">
        <v>61</v>
      </c>
      <c r="D33" s="6" t="s">
        <v>63</v>
      </c>
      <c r="E33" s="7"/>
      <c r="F33" s="6" t="s">
        <v>26</v>
      </c>
      <c r="G33" s="6" t="s">
        <v>33</v>
      </c>
      <c r="H33" s="6"/>
      <c r="I33" s="6"/>
      <c r="J33" s="6"/>
    </row>
    <row r="34" customFormat="false" ht="15" hidden="false" customHeight="false" outlineLevel="0" collapsed="false">
      <c r="B34" s="8" t="s">
        <v>47</v>
      </c>
      <c r="C34" s="8" t="s">
        <v>61</v>
      </c>
      <c r="D34" s="8" t="s">
        <v>64</v>
      </c>
      <c r="E34" s="9"/>
      <c r="F34" s="8" t="s">
        <v>26</v>
      </c>
      <c r="G34" s="8" t="s">
        <v>33</v>
      </c>
      <c r="H34" s="8"/>
      <c r="I34" s="8"/>
      <c r="J34" s="8"/>
    </row>
    <row r="35" customFormat="false" ht="15" hidden="false" customHeight="false" outlineLevel="0" collapsed="false">
      <c r="B35" s="6" t="s">
        <v>65</v>
      </c>
      <c r="C35" s="6" t="s">
        <v>66</v>
      </c>
      <c r="D35" s="6" t="s">
        <v>67</v>
      </c>
      <c r="E35" s="7"/>
      <c r="F35" s="6" t="s">
        <v>26</v>
      </c>
      <c r="G35" s="6" t="s">
        <v>33</v>
      </c>
      <c r="H35" s="6"/>
      <c r="I35" s="6"/>
      <c r="J35" s="6"/>
    </row>
    <row r="36" customFormat="false" ht="15" hidden="false" customHeight="false" outlineLevel="0" collapsed="false">
      <c r="B36" s="8" t="s">
        <v>65</v>
      </c>
      <c r="C36" s="8" t="s">
        <v>66</v>
      </c>
      <c r="D36" s="8" t="s">
        <v>68</v>
      </c>
      <c r="E36" s="9"/>
      <c r="F36" s="8" t="s">
        <v>26</v>
      </c>
      <c r="G36" s="8" t="s">
        <v>33</v>
      </c>
      <c r="H36" s="8"/>
      <c r="I36" s="8"/>
      <c r="J36" s="8"/>
    </row>
    <row r="37" customFormat="false" ht="15" hidden="false" customHeight="false" outlineLevel="0" collapsed="false">
      <c r="B37" s="6" t="s">
        <v>65</v>
      </c>
      <c r="C37" s="6" t="s">
        <v>69</v>
      </c>
      <c r="D37" s="6" t="s">
        <v>70</v>
      </c>
      <c r="E37" s="7"/>
      <c r="F37" s="6" t="s">
        <v>26</v>
      </c>
      <c r="G37" s="6" t="s">
        <v>27</v>
      </c>
      <c r="H37" s="6"/>
      <c r="I37" s="6"/>
      <c r="J37" s="6"/>
    </row>
    <row r="38" customFormat="false" ht="15" hidden="false" customHeight="false" outlineLevel="0" collapsed="false">
      <c r="B38" s="8" t="s">
        <v>65</v>
      </c>
      <c r="C38" s="8" t="s">
        <v>69</v>
      </c>
      <c r="D38" s="8" t="s">
        <v>71</v>
      </c>
      <c r="E38" s="9"/>
      <c r="F38" s="8" t="s">
        <v>26</v>
      </c>
      <c r="G38" s="8" t="s">
        <v>27</v>
      </c>
      <c r="H38" s="8"/>
      <c r="I38" s="8"/>
      <c r="J38" s="8"/>
    </row>
    <row r="39" customFormat="false" ht="15" hidden="false" customHeight="false" outlineLevel="0" collapsed="false">
      <c r="B39" s="6" t="s">
        <v>65</v>
      </c>
      <c r="C39" s="6" t="s">
        <v>69</v>
      </c>
      <c r="D39" s="6" t="s">
        <v>72</v>
      </c>
      <c r="E39" s="7"/>
      <c r="F39" s="6" t="s">
        <v>26</v>
      </c>
      <c r="G39" s="6" t="s">
        <v>27</v>
      </c>
      <c r="H39" s="6"/>
      <c r="I39" s="6"/>
      <c r="J39" s="6"/>
    </row>
    <row r="40" customFormat="false" ht="15" hidden="false" customHeight="false" outlineLevel="0" collapsed="false">
      <c r="B40" s="8" t="s">
        <v>65</v>
      </c>
      <c r="C40" s="8" t="s">
        <v>73</v>
      </c>
      <c r="D40" s="8" t="s">
        <v>74</v>
      </c>
      <c r="E40" s="9"/>
      <c r="F40" s="8" t="s">
        <v>26</v>
      </c>
      <c r="G40" s="8" t="s">
        <v>33</v>
      </c>
      <c r="H40" s="8"/>
      <c r="I40" s="8"/>
      <c r="J40" s="8"/>
    </row>
    <row r="41" customFormat="false" ht="15" hidden="false" customHeight="false" outlineLevel="0" collapsed="false">
      <c r="B41" s="6" t="s">
        <v>65</v>
      </c>
      <c r="C41" s="6" t="s">
        <v>73</v>
      </c>
      <c r="D41" s="6" t="s">
        <v>75</v>
      </c>
      <c r="E41" s="7"/>
      <c r="F41" s="6" t="s">
        <v>26</v>
      </c>
      <c r="G41" s="6" t="s">
        <v>33</v>
      </c>
      <c r="H41" s="6"/>
      <c r="I41" s="6"/>
      <c r="J41" s="6"/>
    </row>
    <row r="42" customFormat="false" ht="15" hidden="false" customHeight="false" outlineLevel="0" collapsed="false">
      <c r="B42" s="8" t="s">
        <v>65</v>
      </c>
      <c r="C42" s="8" t="s">
        <v>73</v>
      </c>
      <c r="D42" s="8" t="s">
        <v>76</v>
      </c>
      <c r="E42" s="9"/>
      <c r="F42" s="8" t="s">
        <v>26</v>
      </c>
      <c r="G42" s="8" t="s">
        <v>77</v>
      </c>
      <c r="H42" s="8"/>
      <c r="I42" s="8"/>
      <c r="J42" s="8"/>
    </row>
    <row r="43" customFormat="false" ht="15" hidden="false" customHeight="false" outlineLevel="0" collapsed="false">
      <c r="B43" s="6" t="s">
        <v>78</v>
      </c>
      <c r="C43" s="6" t="s">
        <v>79</v>
      </c>
      <c r="D43" s="6" t="s">
        <v>80</v>
      </c>
      <c r="E43" s="7"/>
      <c r="F43" s="6" t="s">
        <v>26</v>
      </c>
      <c r="G43" s="6" t="s">
        <v>33</v>
      </c>
      <c r="H43" s="6"/>
      <c r="I43" s="6"/>
      <c r="J43" s="6"/>
    </row>
    <row r="44" customFormat="false" ht="15" hidden="false" customHeight="false" outlineLevel="0" collapsed="false">
      <c r="B44" s="8" t="s">
        <v>78</v>
      </c>
      <c r="C44" s="8" t="s">
        <v>79</v>
      </c>
      <c r="D44" s="8" t="s">
        <v>81</v>
      </c>
      <c r="E44" s="9"/>
      <c r="F44" s="8" t="s">
        <v>26</v>
      </c>
      <c r="G44" s="8" t="s">
        <v>33</v>
      </c>
      <c r="H44" s="8"/>
      <c r="I44" s="8"/>
      <c r="J44" s="8"/>
    </row>
    <row r="45" customFormat="false" ht="15" hidden="false" customHeight="false" outlineLevel="0" collapsed="false">
      <c r="B45" s="6" t="s">
        <v>78</v>
      </c>
      <c r="C45" s="6" t="s">
        <v>82</v>
      </c>
      <c r="D45" s="6" t="s">
        <v>83</v>
      </c>
      <c r="E45" s="7"/>
      <c r="F45" s="6" t="s">
        <v>26</v>
      </c>
      <c r="G45" s="6" t="s">
        <v>27</v>
      </c>
      <c r="H45" s="6"/>
      <c r="I45" s="6"/>
      <c r="J45" s="6"/>
    </row>
    <row r="46" customFormat="false" ht="15" hidden="false" customHeight="false" outlineLevel="0" collapsed="false">
      <c r="B46" s="8" t="s">
        <v>78</v>
      </c>
      <c r="C46" s="8" t="s">
        <v>82</v>
      </c>
      <c r="D46" s="8" t="s">
        <v>84</v>
      </c>
      <c r="E46" s="9"/>
      <c r="F46" s="8" t="s">
        <v>26</v>
      </c>
      <c r="G46" s="8" t="s">
        <v>27</v>
      </c>
      <c r="H46" s="8"/>
      <c r="I46" s="8"/>
      <c r="J46" s="8"/>
    </row>
    <row r="47" customFormat="false" ht="15" hidden="false" customHeight="false" outlineLevel="0" collapsed="false">
      <c r="B47" s="6" t="s">
        <v>78</v>
      </c>
      <c r="C47" s="6" t="s">
        <v>82</v>
      </c>
      <c r="D47" s="6" t="s">
        <v>85</v>
      </c>
      <c r="E47" s="7"/>
      <c r="F47" s="6" t="s">
        <v>26</v>
      </c>
      <c r="G47" s="6" t="s">
        <v>33</v>
      </c>
      <c r="H47" s="6"/>
      <c r="I47" s="6"/>
      <c r="J47" s="6"/>
    </row>
    <row r="48" customFormat="false" ht="15" hidden="false" customHeight="false" outlineLevel="0" collapsed="false">
      <c r="B48" s="8" t="s">
        <v>78</v>
      </c>
      <c r="C48" s="8" t="s">
        <v>82</v>
      </c>
      <c r="D48" s="8" t="s">
        <v>86</v>
      </c>
      <c r="E48" s="9"/>
      <c r="F48" s="8" t="s">
        <v>26</v>
      </c>
      <c r="G48" s="8" t="s">
        <v>45</v>
      </c>
      <c r="H48" s="8"/>
      <c r="I48" s="8"/>
      <c r="J48" s="8"/>
    </row>
    <row r="49" customFormat="false" ht="15" hidden="false" customHeight="false" outlineLevel="0" collapsed="false">
      <c r="B49" s="6" t="s">
        <v>78</v>
      </c>
      <c r="C49" s="6" t="s">
        <v>87</v>
      </c>
      <c r="D49" s="6" t="s">
        <v>88</v>
      </c>
      <c r="E49" s="7"/>
      <c r="F49" s="6" t="s">
        <v>26</v>
      </c>
      <c r="G49" s="6" t="s">
        <v>27</v>
      </c>
      <c r="H49" s="6"/>
      <c r="I49" s="6"/>
      <c r="J49" s="6"/>
    </row>
    <row r="50" customFormat="false" ht="15" hidden="false" customHeight="false" outlineLevel="0" collapsed="false">
      <c r="B50" s="8" t="s">
        <v>78</v>
      </c>
      <c r="C50" s="8" t="s">
        <v>87</v>
      </c>
      <c r="D50" s="8" t="s">
        <v>89</v>
      </c>
      <c r="E50" s="9"/>
      <c r="F50" s="8" t="s">
        <v>26</v>
      </c>
      <c r="G50" s="8" t="s">
        <v>33</v>
      </c>
      <c r="H50" s="8"/>
      <c r="I50" s="8"/>
      <c r="J50" s="8"/>
    </row>
    <row r="51" customFormat="false" ht="15" hidden="false" customHeight="false" outlineLevel="0" collapsed="false">
      <c r="B51" s="6" t="s">
        <v>78</v>
      </c>
      <c r="C51" s="6" t="s">
        <v>90</v>
      </c>
      <c r="D51" s="6" t="s">
        <v>91</v>
      </c>
      <c r="E51" s="7"/>
      <c r="F51" s="6" t="s">
        <v>26</v>
      </c>
      <c r="G51" s="6" t="s">
        <v>77</v>
      </c>
      <c r="H51" s="6"/>
      <c r="I51" s="6"/>
      <c r="J51" s="6"/>
    </row>
    <row r="52" customFormat="false" ht="15" hidden="false" customHeight="false" outlineLevel="0" collapsed="false">
      <c r="B52" s="8" t="s">
        <v>78</v>
      </c>
      <c r="C52" s="8" t="s">
        <v>90</v>
      </c>
      <c r="D52" s="8" t="s">
        <v>92</v>
      </c>
      <c r="E52" s="9"/>
      <c r="F52" s="8" t="s">
        <v>26</v>
      </c>
      <c r="G52" s="8" t="s">
        <v>33</v>
      </c>
      <c r="H52" s="8"/>
      <c r="I52" s="8"/>
      <c r="J52" s="8"/>
    </row>
    <row r="53" customFormat="false" ht="15" hidden="false" customHeight="false" outlineLevel="0" collapsed="false">
      <c r="B53" s="6" t="s">
        <v>78</v>
      </c>
      <c r="C53" s="6" t="s">
        <v>90</v>
      </c>
      <c r="D53" s="6" t="s">
        <v>93</v>
      </c>
      <c r="E53" s="7"/>
      <c r="F53" s="6" t="s">
        <v>26</v>
      </c>
      <c r="G53" s="6" t="s">
        <v>33</v>
      </c>
      <c r="H53" s="6"/>
      <c r="I53" s="6"/>
      <c r="J53" s="6"/>
    </row>
    <row r="54" customFormat="false" ht="15" hidden="false" customHeight="false" outlineLevel="0" collapsed="false">
      <c r="B54" s="8" t="s">
        <v>94</v>
      </c>
      <c r="C54" s="8" t="s">
        <v>95</v>
      </c>
      <c r="D54" s="8" t="s">
        <v>96</v>
      </c>
      <c r="E54" s="9"/>
      <c r="F54" s="8" t="s">
        <v>26</v>
      </c>
      <c r="G54" s="8" t="s">
        <v>27</v>
      </c>
      <c r="H54" s="8"/>
      <c r="I54" s="8"/>
      <c r="J54" s="8"/>
    </row>
    <row r="55" customFormat="false" ht="15" hidden="false" customHeight="false" outlineLevel="0" collapsed="false">
      <c r="B55" s="6" t="s">
        <v>94</v>
      </c>
      <c r="C55" s="6" t="s">
        <v>95</v>
      </c>
      <c r="D55" s="6" t="s">
        <v>97</v>
      </c>
      <c r="E55" s="7"/>
      <c r="F55" s="6" t="s">
        <v>26</v>
      </c>
      <c r="G55" s="6" t="s">
        <v>27</v>
      </c>
      <c r="H55" s="6"/>
      <c r="I55" s="6"/>
      <c r="J55" s="6"/>
    </row>
    <row r="56" customFormat="false" ht="15" hidden="false" customHeight="false" outlineLevel="0" collapsed="false">
      <c r="B56" s="8" t="s">
        <v>94</v>
      </c>
      <c r="C56" s="8" t="s">
        <v>98</v>
      </c>
      <c r="D56" s="8" t="s">
        <v>99</v>
      </c>
      <c r="E56" s="9"/>
      <c r="F56" s="8" t="s">
        <v>26</v>
      </c>
      <c r="G56" s="8" t="s">
        <v>77</v>
      </c>
      <c r="H56" s="8"/>
      <c r="I56" s="8"/>
      <c r="J56" s="8"/>
    </row>
    <row r="57" customFormat="false" ht="15" hidden="false" customHeight="false" outlineLevel="0" collapsed="false">
      <c r="B57" s="6" t="s">
        <v>94</v>
      </c>
      <c r="C57" s="6" t="s">
        <v>98</v>
      </c>
      <c r="D57" s="6" t="s">
        <v>100</v>
      </c>
      <c r="E57" s="7"/>
      <c r="F57" s="6" t="s">
        <v>26</v>
      </c>
      <c r="G57" s="6" t="s">
        <v>33</v>
      </c>
      <c r="H57" s="6"/>
      <c r="I57" s="6"/>
      <c r="J57" s="6"/>
    </row>
  </sheetData>
  <mergeCells count="6">
    <mergeCell ref="B2:I2"/>
    <mergeCell ref="B4:C4"/>
    <mergeCell ref="F4:G4"/>
    <mergeCell ref="B5:C5"/>
    <mergeCell ref="F5:G5"/>
    <mergeCell ref="B6:C6"/>
  </mergeCells>
  <conditionalFormatting sqref="E9:E57">
    <cfRule type="expression" priority="2" aboveAverage="0" equalAverage="0" bottom="0" percent="0" rank="0" text="" dxfId="0">
      <formula>E9="Terminé"</formula>
    </cfRule>
    <cfRule type="expression" priority="3" aboveAverage="0" equalAverage="0" bottom="0" percent="0" rank="0" text="" dxfId="1">
      <formula>E9="En cours"</formula>
    </cfRule>
    <cfRule type="expression" priority="4" aboveAverage="0" equalAverage="0" bottom="0" percent="0" rank="0" text="" dxfId="2">
      <formula>E9="Bloqué"</formula>
    </cfRule>
    <cfRule type="expression" priority="5" aboveAverage="0" equalAverage="0" bottom="0" percent="0" rank="0" text="" dxfId="3">
      <formula>E9="NA"</formula>
    </cfRule>
  </conditionalFormatting>
  <conditionalFormatting sqref="F9:F57">
    <cfRule type="expression" priority="6" aboveAverage="0" equalAverage="0" bottom="0" percent="0" rank="0" text="" dxfId="2">
      <formula>F9="Critique"</formula>
    </cfRule>
    <cfRule type="expression" priority="7" aboveAverage="0" equalAverage="0" bottom="0" percent="0" rank="0" text="" dxfId="4">
      <formula>F9="Haute"</formula>
    </cfRule>
  </conditionalFormatting>
  <conditionalFormatting sqref="L10">
    <cfRule type="dataBar" priority="8">
      <dataBar showValue="1" minLength="10" maxLength="90">
        <cfvo type="num" val="0"/>
        <cfvo type="num" val="100"/>
        <color rgb="FF4A90D9"/>
      </dataBar>
      <extLst>
        <ext xmlns:x14="http://schemas.microsoft.com/office/spreadsheetml/2009/9/main" uri="{B025F937-C7B1-47D3-B67F-A62EFF666E3E}">
          <x14:id>{67B500B8-967A-4211-A2F7-1FCC4F4292B0}</x14:id>
        </ext>
      </extLst>
    </cfRule>
  </conditionalFormatting>
  <dataValidations count="2">
    <dataValidation allowBlank="true" error="Veuillez sélectionner un statut valide" errorStyle="stop" errorTitle="Statut invalide" operator="between" showDropDown="false" showErrorMessage="false" showInputMessage="false" sqref="E9:E57" type="list">
      <formula1>"Non démarré,En cours,Terminé,Bloqué,NA"</formula1>
      <formula2>0</formula2>
    </dataValidation>
    <dataValidation allowBlank="true" errorStyle="stop" operator="between" showDropDown="false" showErrorMessage="false" showInputMessage="false" sqref="F9:F57" type="list">
      <formula1>"Critique,Haute,Moyenne,Basse"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67B500B8-967A-4211-A2F7-1FCC4F4292B0}">
            <x14:dataBar minLength="10" maxLength="90" axisPosition="none" gradient="true">
              <x14:cfvo type="num">
                <xm:f>0</xm:f>
              </x14:cfvo>
              <x14:cfvo type="num">
                <xm:f>100</xm:f>
              </x14:cfvo>
              <x14:negativeFillColor rgb="FF4A90D9"/>
              <x14:axisColor rgb="FF000000"/>
            </x14:dataBar>
          </x14:cfRule>
          <xm:sqref>L10</xm:sqref>
        </x14:conditionalFormatting>
      </x14:conditionalFormatting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LibreOffice/7.4.7.2$Linux_X86_64 LibreOffice_project/40$Build-2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2026-02-03T04:07:30Z</dcterms:created>
  <dc:creator>openpyxl</dc:creator>
  <dc:description/>
  <dc:language>en-US</dc:language>
  <cp:lastModifiedBy/>
  <dcterms:modified xsi:type="dcterms:W3CDTF">2026-02-03T04:07:30Z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