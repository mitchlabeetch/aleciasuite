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Teasers I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<sst xmlns="http://schemas.openxmlformats.org/spreadsheetml/2006/main" count="99" uniqueCount="54">
  <si>
    <t xml:space="preserve">SUIVI DES TEASERS &amp; INFORMATION MEMORANDUMS</t>
  </si>
  <si>
    <t xml:space="preserve">Entreprise :</t>
  </si>
  <si>
    <t xml:space="preserve">[Nom de l'entreprise]</t>
  </si>
  <si>
    <t xml:space="preserve">Type de transaction :</t>
  </si>
  <si>
    <t xml:space="preserve">[Cession/Acquisition/etc.]</t>
  </si>
  <si>
    <t xml:space="preserve">RÉCAPITULATIF</t>
  </si>
  <si>
    <t xml:space="preserve">Teasers envoyés :</t>
  </si>
  <si>
    <t xml:space="preserve">IM envoyés :</t>
  </si>
  <si>
    <t xml:space="preserve">Total envois :</t>
  </si>
  <si>
    <t xml:space="preserve">Taux de réponse :</t>
  </si>
  <si>
    <t xml:space="preserve">NDA signés :</t>
  </si>
  <si>
    <t xml:space="preserve">N°</t>
  </si>
  <si>
    <t xml:space="preserve">Date envoi</t>
  </si>
  <si>
    <t xml:space="preserve">Destinataire</t>
  </si>
  <si>
    <t xml:space="preserve">Type document</t>
  </si>
  <si>
    <t xml:space="preserve">Contact</t>
  </si>
  <si>
    <t xml:space="preserve">Email</t>
  </si>
  <si>
    <t xml:space="preserve">Statut</t>
  </si>
  <si>
    <t xml:space="preserve">Date relance</t>
  </si>
  <si>
    <t xml:space="preserve">Date réponse</t>
  </si>
  <si>
    <t xml:space="preserve">NDA</t>
  </si>
  <si>
    <t xml:space="preserve">Date NDA</t>
  </si>
  <si>
    <t xml:space="preserve">Accès data room</t>
  </si>
  <si>
    <t xml:space="preserve">Intérêt</t>
  </si>
  <si>
    <t xml:space="preserve">Commentaires</t>
  </si>
  <si>
    <t xml:space="preserve">01/01/2024</t>
  </si>
  <si>
    <t xml:space="preserve">[Fonds A]</t>
  </si>
  <si>
    <t xml:space="preserve">Teaser</t>
  </si>
  <si>
    <t xml:space="preserve">[Nom]</t>
  </si>
  <si>
    <t xml:space="preserve">[Email]</t>
  </si>
  <si>
    <t xml:space="preserve">Envoyé</t>
  </si>
  <si>
    <t xml:space="preserve">15/01/2024</t>
  </si>
  <si>
    <t xml:space="preserve">[Commentaire]</t>
  </si>
  <si>
    <t xml:space="preserve">[Fonds B]</t>
  </si>
  <si>
    <t xml:space="preserve">Répondu</t>
  </si>
  <si>
    <t xml:space="preserve">10/01/2024</t>
  </si>
  <si>
    <t xml:space="preserve">Signé</t>
  </si>
  <si>
    <t xml:space="preserve">12/01/2024</t>
  </si>
  <si>
    <t xml:space="preserve">Oui</t>
  </si>
  <si>
    <t xml:space="preserve">Élevé</t>
  </si>
  <si>
    <t xml:space="preserve">[Groupe C]</t>
  </si>
  <si>
    <t xml:space="preserve">Sans réponse</t>
  </si>
  <si>
    <t xml:space="preserve">05/01/2024</t>
  </si>
  <si>
    <t xml:space="preserve">IM</t>
  </si>
  <si>
    <t xml:space="preserve">08/01/2024</t>
  </si>
  <si>
    <t xml:space="preserve">[Fonds D]</t>
  </si>
  <si>
    <t xml:space="preserve">20/01/2024</t>
  </si>
  <si>
    <t xml:space="preserve">[Fonds E]</t>
  </si>
  <si>
    <t xml:space="preserve">En cours</t>
  </si>
  <si>
    <t xml:space="preserve">Moyen</t>
  </si>
  <si>
    <t xml:space="preserve">[Groupe F]</t>
  </si>
  <si>
    <t xml:space="preserve">25/01/2024</t>
  </si>
  <si>
    <t xml:space="preserve">[Fonds G]</t>
  </si>
  <si>
    <t xml:space="preserve">30/01/2024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</si>
</sst>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 t="s">
        <v>4</v>
      </c>
    </row>
    <row r="6" customFormat="false" ht="15" hidden="false" customHeight="false" outlineLevel="0" collapsed="false">
      <c r="B6" s="4" t="s">
        <v>5</v>
      </c>
      <c r="C6" s="4"/>
      <c r="D6" s="4"/>
      <c r="E6" s="4"/>
    </row>
    <row r="7" customFormat="false" ht="15" hidden="false" customHeight="false" outlineLevel="0" collapsed="false">
      <c r="B7" s="2" t="s">
        <v>6</v>
      </c>
      <c r="C7" s="3" t="n">
        <f aca="false">COUNTIF(D10:D200,"Teaser")</f>
        <v>0</v>
      </c>
    </row>
    <row r="8" customFormat="false" ht="15" hidden="false" customHeight="false" outlineLevel="0" collapsed="false">
      <c r="B8" s="2" t="s">
        <v>7</v>
      </c>
      <c r="C8" s="3" t="n">
        <f aca="false">COUNTIF(D10:D200,"IM")</f>
        <v>0</v>
      </c>
    </row>
    <row r="9" customFormat="false" ht="15" hidden="false" customHeight="false" outlineLevel="0" collapsed="false">
      <c r="B9" s="2" t="s">
        <v>8</v>
      </c>
      <c r="C9" s="3" t="n">
        <f aca="false">COUNTA(C10:C200)</f>
        <v>11</v>
      </c>
    </row>
    <row r="10" customFormat="false" ht="15" hidden="false" customHeight="false" outlineLevel="0" collapsed="false">
      <c r="B10" s="2" t="s">
        <v>9</v>
      </c>
      <c r="C10" s="5" t="n">
        <f aca="false">COUNTIF(G10:G200,"Répondu")/COUNTA(G10:G200)</f>
        <v>0</v>
      </c>
    </row>
    <row r="11" customFormat="false" ht="15" hidden="false" customHeight="false" outlineLevel="0" collapsed="false">
      <c r="B11" s="2" t="s">
        <v>10</v>
      </c>
      <c r="C11" s="3" t="n">
        <f aca="false">COUNTIF(J10:J200,"Signé")</f>
        <v>0</v>
      </c>
    </row>
    <row r="14" customFormat="false" ht="30" hidden="false" customHeight="true" outlineLevel="0" collapsed="false"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  <c r="L14" s="6" t="s">
        <v>21</v>
      </c>
      <c r="M14" s="6" t="s">
        <v>22</v>
      </c>
      <c r="N14" s="6" t="s">
        <v>23</v>
      </c>
      <c r="O14" s="6" t="s">
        <v>24</v>
      </c>
    </row>
    <row r="15" customFormat="false" ht="15" hidden="false" customHeight="false" outlineLevel="0" collapsed="false">
      <c r="B15" s="7" t="n">
        <v>1</v>
      </c>
      <c r="C15" s="8" t="s">
        <v>25</v>
      </c>
      <c r="D15" s="9" t="s">
        <v>26</v>
      </c>
      <c r="E15" s="8" t="s">
        <v>27</v>
      </c>
      <c r="F15" s="9" t="s">
        <v>28</v>
      </c>
      <c r="G15" s="9" t="s">
        <v>29</v>
      </c>
      <c r="H15" s="8" t="s">
        <v>30</v>
      </c>
      <c r="I15" s="8" t="s">
        <v>31</v>
      </c>
      <c r="J15" s="8"/>
      <c r="K15" s="10"/>
      <c r="L15" s="8"/>
      <c r="M15" s="10"/>
      <c r="N15" s="10"/>
      <c r="O15" s="9" t="s">
        <v>32</v>
      </c>
    </row>
    <row r="16" customFormat="false" ht="15" hidden="false" customHeight="false" outlineLevel="0" collapsed="false">
      <c r="B16" s="11" t="n">
        <v>2</v>
      </c>
      <c r="C16" s="12" t="s">
        <v>25</v>
      </c>
      <c r="D16" s="13" t="s">
        <v>33</v>
      </c>
      <c r="E16" s="12" t="s">
        <v>27</v>
      </c>
      <c r="F16" s="13" t="s">
        <v>28</v>
      </c>
      <c r="G16" s="13" t="s">
        <v>29</v>
      </c>
      <c r="H16" s="12" t="s">
        <v>34</v>
      </c>
      <c r="I16" s="12"/>
      <c r="J16" s="12" t="s">
        <v>35</v>
      </c>
      <c r="K16" s="12" t="s">
        <v>36</v>
      </c>
      <c r="L16" s="12" t="s">
        <v>37</v>
      </c>
      <c r="M16" s="12" t="s">
        <v>38</v>
      </c>
      <c r="N16" s="12" t="s">
        <v>39</v>
      </c>
      <c r="O16" s="13" t="s">
        <v>32</v>
      </c>
      <c r="P16" s="14"/>
    </row>
    <row r="17" customFormat="false" ht="15" hidden="false" customHeight="false" outlineLevel="0" collapsed="false">
      <c r="B17" s="7" t="n">
        <v>3</v>
      </c>
      <c r="C17" s="8" t="s">
        <v>25</v>
      </c>
      <c r="D17" s="9" t="s">
        <v>40</v>
      </c>
      <c r="E17" s="8" t="s">
        <v>27</v>
      </c>
      <c r="F17" s="9" t="s">
        <v>28</v>
      </c>
      <c r="G17" s="9" t="s">
        <v>29</v>
      </c>
      <c r="H17" s="8" t="s">
        <v>41</v>
      </c>
      <c r="I17" s="8" t="s">
        <v>31</v>
      </c>
      <c r="J17" s="8"/>
      <c r="K17" s="10"/>
      <c r="L17" s="8"/>
      <c r="M17" s="10"/>
      <c r="N17" s="10"/>
      <c r="O17" s="9" t="s">
        <v>32</v>
      </c>
    </row>
    <row r="18" customFormat="false" ht="15" hidden="false" customHeight="false" outlineLevel="0" collapsed="false">
      <c r="B18" s="11" t="n">
        <v>4</v>
      </c>
      <c r="C18" s="12" t="s">
        <v>42</v>
      </c>
      <c r="D18" s="13" t="s">
        <v>33</v>
      </c>
      <c r="E18" s="12" t="s">
        <v>43</v>
      </c>
      <c r="F18" s="13" t="s">
        <v>28</v>
      </c>
      <c r="G18" s="13" t="s">
        <v>29</v>
      </c>
      <c r="H18" s="12" t="s">
        <v>34</v>
      </c>
      <c r="I18" s="12"/>
      <c r="J18" s="12" t="s">
        <v>44</v>
      </c>
      <c r="K18" s="12" t="s">
        <v>36</v>
      </c>
      <c r="L18" s="12" t="s">
        <v>35</v>
      </c>
      <c r="M18" s="12" t="s">
        <v>38</v>
      </c>
      <c r="N18" s="12" t="s">
        <v>39</v>
      </c>
      <c r="O18" s="13" t="s">
        <v>32</v>
      </c>
      <c r="P18" s="14"/>
    </row>
    <row r="19" customFormat="false" ht="15" hidden="false" customHeight="false" outlineLevel="0" collapsed="false">
      <c r="B19" s="7" t="n">
        <v>5</v>
      </c>
      <c r="C19" s="8" t="s">
        <v>42</v>
      </c>
      <c r="D19" s="9" t="s">
        <v>45</v>
      </c>
      <c r="E19" s="8" t="s">
        <v>43</v>
      </c>
      <c r="F19" s="9" t="s">
        <v>28</v>
      </c>
      <c r="G19" s="9" t="s">
        <v>29</v>
      </c>
      <c r="H19" s="8" t="s">
        <v>30</v>
      </c>
      <c r="I19" s="8" t="s">
        <v>46</v>
      </c>
      <c r="J19" s="8"/>
      <c r="K19" s="10"/>
      <c r="L19" s="8"/>
      <c r="M19" s="10"/>
      <c r="N19" s="10"/>
      <c r="O19" s="9" t="s">
        <v>32</v>
      </c>
    </row>
    <row r="20" customFormat="false" ht="15" hidden="false" customHeight="false" outlineLevel="0" collapsed="false">
      <c r="B20" s="11" t="n">
        <v>6</v>
      </c>
      <c r="C20" s="12" t="s">
        <v>35</v>
      </c>
      <c r="D20" s="13" t="s">
        <v>47</v>
      </c>
      <c r="E20" s="12" t="s">
        <v>27</v>
      </c>
      <c r="F20" s="13" t="s">
        <v>28</v>
      </c>
      <c r="G20" s="13" t="s">
        <v>29</v>
      </c>
      <c r="H20" s="12" t="s">
        <v>34</v>
      </c>
      <c r="I20" s="12"/>
      <c r="J20" s="12" t="s">
        <v>37</v>
      </c>
      <c r="K20" s="12" t="s">
        <v>48</v>
      </c>
      <c r="L20" s="12"/>
      <c r="M20" s="12"/>
      <c r="N20" s="12" t="s">
        <v>49</v>
      </c>
      <c r="O20" s="13" t="s">
        <v>32</v>
      </c>
      <c r="P20" s="14"/>
    </row>
    <row r="21" customFormat="false" ht="15" hidden="false" customHeight="false" outlineLevel="0" collapsed="false">
      <c r="B21" s="7" t="n">
        <v>7</v>
      </c>
      <c r="C21" s="8" t="s">
        <v>35</v>
      </c>
      <c r="D21" s="9" t="s">
        <v>50</v>
      </c>
      <c r="E21" s="8" t="s">
        <v>27</v>
      </c>
      <c r="F21" s="9" t="s">
        <v>28</v>
      </c>
      <c r="G21" s="9" t="s">
        <v>29</v>
      </c>
      <c r="H21" s="8" t="s">
        <v>41</v>
      </c>
      <c r="I21" s="8" t="s">
        <v>51</v>
      </c>
      <c r="J21" s="8"/>
      <c r="K21" s="10"/>
      <c r="L21" s="8"/>
      <c r="M21" s="10"/>
      <c r="N21" s="10"/>
      <c r="O21" s="9" t="s">
        <v>32</v>
      </c>
    </row>
    <row r="22" customFormat="false" ht="15" hidden="false" customHeight="false" outlineLevel="0" collapsed="false">
      <c r="B22" s="11" t="n">
        <v>8</v>
      </c>
      <c r="C22" s="12" t="s">
        <v>31</v>
      </c>
      <c r="D22" s="13" t="s">
        <v>52</v>
      </c>
      <c r="E22" s="12" t="s">
        <v>43</v>
      </c>
      <c r="F22" s="13" t="s">
        <v>28</v>
      </c>
      <c r="G22" s="13" t="s">
        <v>29</v>
      </c>
      <c r="H22" s="12" t="s">
        <v>30</v>
      </c>
      <c r="I22" s="12" t="s">
        <v>53</v>
      </c>
      <c r="J22" s="12"/>
      <c r="K22" s="12"/>
      <c r="L22" s="12"/>
      <c r="M22" s="12"/>
      <c r="N22" s="12"/>
      <c r="O22" s="13" t="s">
        <v>32</v>
      </c>
      <c r="P22" s="14"/>
    </row>
  </sheetData>
  <mergeCells count="2">
    <mergeCell ref="B2:P2"/>
    <mergeCell ref="B6:E6"/>
  </mergeCells>
  <conditionalFormatting sqref="H15:H215">
    <cfRule type="expression" priority="2" aboveAverage="0" equalAverage="0" bottom="0" percent="0" rank="0" text="" dxfId="0">
      <formula>H15="Répondu"</formula>
    </cfRule>
    <cfRule type="expression" priority="3" aboveAverage="0" equalAverage="0" bottom="0" percent="0" rank="0" text="" dxfId="1">
      <formula>H15="Sans réponse"</formula>
    </cfRule>
    <cfRule type="expression" priority="4" aboveAverage="0" equalAverage="0" bottom="0" percent="0" rank="0" text="" dxfId="2">
      <formula>H15="Refusé"</formula>
    </cfRule>
  </conditionalFormatting>
  <conditionalFormatting sqref="K15:K215">
    <cfRule type="expression" priority="5" aboveAverage="0" equalAverage="0" bottom="0" percent="0" rank="0" text="" dxfId="0">
      <formula>K15="Signé"</formula>
    </cfRule>
  </conditionalFormatting>
  <conditionalFormatting sqref="N15:N215">
    <cfRule type="expression" priority="6" aboveAverage="0" equalAverage="0" bottom="0" percent="0" rank="0" text="" dxfId="0">
      <formula>N15="Élevé"</formula>
    </cfRule>
  </conditionalFormatting>
  <dataValidations count="5">
    <dataValidation allowBlank="true" errorStyle="stop" operator="between" showDropDown="false" showErrorMessage="false" showInputMessage="false" sqref="E15:E215" type="list">
      <formula1>"Teaser,IM,Suite"</formula1>
      <formula2>0</formula2>
    </dataValidation>
    <dataValidation allowBlank="true" errorStyle="stop" operator="between" showDropDown="false" showErrorMessage="false" showInputMessage="false" sqref="H15:H215" type="list">
      <formula1>"Envoyé,Répondu,Sans réponse,Relancé,Refusé"</formula1>
      <formula2>0</formula2>
    </dataValidation>
    <dataValidation allowBlank="true" errorStyle="stop" operator="between" showDropDown="false" showErrorMessage="false" showInputMessage="false" sqref="K15:K215" type="list">
      <formula1>"Signé,En cours,Refusé,NA"</formula1>
      <formula2>0</formula2>
    </dataValidation>
    <dataValidation allowBlank="true" errorStyle="stop" operator="between" showDropDown="false" showErrorMessage="false" showInputMessage="false" sqref="M15:M215" type="list">
      <formula1>"Oui,Non,En attente"</formula1>
      <formula2>0</formula2>
    </dataValidation>
    <dataValidation allowBlank="true" errorStyle="stop" operator="between" showDropDown="false" showErrorMessage="false" showInputMessage="false" sqref="N15:N215" type="list">
      <formula1>"Élevé,Moyen,Faible,Inconnu"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2026-02-03T04:17:00Z</dcterms:created>
  <dc:creator>openpyxl</dc:creator>
  <dc:description/>
  <dc:language>en-US</dc:language>
  <cp:lastModifiedBy/>
  <dcterms:modified xsi:type="dcterms:W3CDTF">2026-02-03T04:17:00Z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