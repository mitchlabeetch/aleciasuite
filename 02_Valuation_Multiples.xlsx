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ltipl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\x"/>
    <numFmt numFmtId="166" formatCode="#,##0&quot; k€&quot;"/>
  </numFmts>
  <fonts count="1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9"/>
      <sz val="20"/>
    </font>
    <font>
      <name val="Cambria"/>
      <charset val="1"/>
      <family val="0"/>
      <b val="1"/>
      <sz val="11"/>
    </font>
    <font>
      <name val="Cambria"/>
      <charset val="1"/>
      <family val="0"/>
      <color rgb="FF0066CC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0066CC"/>
      <sz val="12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FFF3E0"/>
        <bgColor rgb="FFF9F9F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3" fontId="0" fillId="4" borderId="1" applyAlignment="1" pivotButton="0" quotePrefix="0" xfId="0">
      <alignment horizontal="general" vertical="bottom"/>
    </xf>
    <xf numFmtId="165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3" fontId="0" fillId="4" borderId="1" applyAlignment="1" pivotButton="0" quotePrefix="0" xfId="0">
      <alignment horizontal="general" vertical="bottom"/>
    </xf>
    <xf numFmtId="165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K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20" customWidth="1" style="24" min="2" max="2"/>
    <col width="15" customWidth="1" style="24" min="3" max="5"/>
    <col width="12" customWidth="1" style="24" min="6" max="9"/>
    <col width="25" customWidth="1" style="24" min="10" max="10"/>
  </cols>
  <sheetData>
    <row r="2" ht="34.5" customHeight="1" s="25">
      <c r="B2" s="26" t="inlineStr">
        <is>
          <t>ANALYSE DES MULTIPLES DE VALORISATION</t>
        </is>
      </c>
    </row>
    <row r="4" ht="15" customHeight="1" s="25">
      <c r="B4" s="27" t="inlineStr">
        <is>
          <t>Entreprise cible :</t>
        </is>
      </c>
      <c r="C4" s="28" t="inlineStr">
        <is>
          <t>[Nom de l'entreprise]</t>
        </is>
      </c>
      <c r="E4" s="27" t="inlineStr">
        <is>
          <t>Secteur :</t>
        </is>
      </c>
      <c r="F4" s="28" t="inlineStr">
        <is>
          <t>[Secteur]</t>
        </is>
      </c>
      <c r="H4" s="27" t="inlineStr">
        <is>
          <t>Date :</t>
        </is>
      </c>
      <c r="I4" s="28" t="inlineStr">
        <is>
          <t>[JJ/MM/AAAA]</t>
        </is>
      </c>
    </row>
    <row r="6" ht="24.75" customHeight="1" s="25">
      <c r="B6" s="29" t="inlineStr">
        <is>
          <t>MÉTRIQUES FINANCIÈRES DE LA CIBLE</t>
        </is>
      </c>
      <c r="G6" s="29" t="inlineStr">
        <is>
          <t>MÉTRIQUES CALCULÉES</t>
        </is>
      </c>
    </row>
    <row r="7" ht="15" customHeight="1" s="25">
      <c r="B7" s="30" t="inlineStr">
        <is>
          <t>Métrique</t>
        </is>
      </c>
      <c r="C7" s="30" t="inlineStr">
        <is>
          <t>Valeur (k€)</t>
        </is>
      </c>
      <c r="D7" s="30" t="inlineStr">
        <is>
          <t>Source</t>
        </is>
      </c>
      <c r="G7" s="30" t="inlineStr">
        <is>
          <t>Métrique</t>
        </is>
      </c>
      <c r="H7" s="30" t="inlineStr">
        <is>
          <t>Formule</t>
        </is>
      </c>
      <c r="I7" s="30" t="inlineStr">
        <is>
          <t>Valeur</t>
        </is>
      </c>
    </row>
    <row r="8" ht="15" customHeight="1" s="25">
      <c r="B8" s="31" t="inlineStr">
        <is>
          <t>Chiffre d'affaires (LTM)</t>
        </is>
      </c>
      <c r="C8" s="32" t="n">
        <v>5000</v>
      </c>
      <c r="D8" s="33" t="inlineStr">
        <is>
          <t>[Source]</t>
        </is>
      </c>
      <c r="G8" s="31" t="inlineStr">
        <is>
          <t>EV (Entreprise Value)</t>
        </is>
      </c>
      <c r="H8" s="34">
        <f>C12+C14-C15</f>
        <v/>
      </c>
      <c r="I8" s="35">
        <f>C12+C14-C15</f>
        <v/>
      </c>
    </row>
    <row r="9" ht="15" customHeight="1" s="25">
      <c r="B9" s="31" t="inlineStr">
        <is>
          <t>EBITDA (LTM)</t>
        </is>
      </c>
      <c r="C9" s="32" t="n">
        <v>750</v>
      </c>
      <c r="D9" s="33" t="inlineStr">
        <is>
          <t>[Source]</t>
        </is>
      </c>
      <c r="G9" s="31" t="inlineStr">
        <is>
          <t>Marge EBITDA</t>
        </is>
      </c>
      <c r="H9" s="34">
        <f>IF(C8=0,0,C9/C8)</f>
        <v/>
      </c>
      <c r="I9" s="36">
        <f>IF(C8=0,0,C9/C8)</f>
        <v/>
      </c>
    </row>
    <row r="10" ht="15" customHeight="1" s="25">
      <c r="B10" s="31" t="inlineStr">
        <is>
          <t>EBIT (LTM)</t>
        </is>
      </c>
      <c r="C10" s="32" t="n">
        <v>500</v>
      </c>
      <c r="D10" s="33" t="inlineStr">
        <is>
          <t>[Source]</t>
        </is>
      </c>
      <c r="G10" s="31" t="inlineStr">
        <is>
          <t>Marge EBIT</t>
        </is>
      </c>
      <c r="H10" s="34">
        <f>IF(C8=0,0,C10/C8)</f>
        <v/>
      </c>
      <c r="I10" s="36">
        <f>IF(C8=0,0,C10/C8)</f>
        <v/>
      </c>
    </row>
    <row r="11" ht="15" customHeight="1" s="25">
      <c r="B11" s="31" t="inlineStr">
        <is>
          <t>Résultat net (LTM)</t>
        </is>
      </c>
      <c r="C11" s="32" t="n">
        <v>350</v>
      </c>
      <c r="D11" s="33" t="inlineStr">
        <is>
          <t>[Source]</t>
        </is>
      </c>
      <c r="G11" s="31" t="inlineStr">
        <is>
          <t>Marge nette</t>
        </is>
      </c>
      <c r="H11" s="34">
        <f>IF(C8=0,0,C11/C8)</f>
        <v/>
      </c>
      <c r="I11" s="36">
        <f>IF(C8=0,0,C11/C8)</f>
        <v/>
      </c>
    </row>
    <row r="12" ht="15" customHeight="1" s="25">
      <c r="B12" s="31" t="inlineStr">
        <is>
          <t>Dette nette</t>
        </is>
      </c>
      <c r="C12" s="32" t="n">
        <v>1000</v>
      </c>
      <c r="D12" s="33" t="inlineStr">
        <is>
          <t>[Source]</t>
        </is>
      </c>
      <c r="G12" s="31" t="inlineStr">
        <is>
          <t>Ratio D/EBITDA</t>
        </is>
      </c>
      <c r="H12" s="34">
        <f>IF(C9=0,0,C12/C9)</f>
        <v/>
      </c>
      <c r="I12" s="37">
        <f>IF(C9=0,0,C12/C9)</f>
        <v/>
      </c>
    </row>
    <row r="13" ht="15" customHeight="1" s="25">
      <c r="B13" s="31" t="inlineStr">
        <is>
          <t>Trésorerie</t>
        </is>
      </c>
      <c r="C13" s="32" t="n">
        <v>300</v>
      </c>
      <c r="D13" s="33" t="inlineStr">
        <is>
          <t>[Source]</t>
        </is>
      </c>
    </row>
    <row r="14" ht="15" customHeight="1" s="25">
      <c r="B14" s="31" t="inlineStr">
        <is>
          <t>Capitaux propres</t>
        </is>
      </c>
      <c r="C14" s="32" t="n">
        <v>2000</v>
      </c>
      <c r="D14" s="33" t="inlineStr">
        <is>
          <t>[Source]</t>
        </is>
      </c>
    </row>
    <row r="16" ht="24.75" customHeight="1" s="25">
      <c r="B16" s="29" t="inlineStr">
        <is>
          <t>ANALYSE DES MULTIPLES COMPARABLES</t>
        </is>
      </c>
    </row>
    <row r="17" ht="15" customHeight="1" s="25">
      <c r="B17" s="38" t="inlineStr">
        <is>
          <t>Entreprise</t>
        </is>
      </c>
      <c r="C17" s="38" t="inlineStr">
        <is>
          <t>Pays</t>
        </is>
      </c>
      <c r="D17" s="38" t="inlineStr">
        <is>
          <t>EV (M€)</t>
        </is>
      </c>
      <c r="E17" s="38" t="inlineStr">
        <is>
          <t>CA (M€)</t>
        </is>
      </c>
      <c r="F17" s="38" t="inlineStr">
        <is>
          <t>EBITDA (M€)</t>
        </is>
      </c>
      <c r="G17" s="38" t="inlineStr">
        <is>
          <t>EV/Sales</t>
        </is>
      </c>
      <c r="H17" s="38" t="inlineStr">
        <is>
          <t>EV/EBITDA</t>
        </is>
      </c>
      <c r="I17" s="38" t="inlineStr">
        <is>
          <t>P/E</t>
        </is>
      </c>
      <c r="J17" s="38" t="inlineStr">
        <is>
          <t>Commentaires</t>
        </is>
      </c>
    </row>
    <row r="18" ht="15" customHeight="1" s="25">
      <c r="B18" s="31" t="inlineStr">
        <is>
          <t>[Société A]</t>
        </is>
      </c>
      <c r="C18" s="39" t="inlineStr">
        <is>
          <t>FR</t>
        </is>
      </c>
      <c r="D18" s="35" t="n">
        <v>150</v>
      </c>
      <c r="E18" s="35" t="n">
        <v>120</v>
      </c>
      <c r="F18" s="35" t="n">
        <v>25</v>
      </c>
      <c r="G18" s="37">
        <f>IFERROR(D18/E18,0)</f>
        <v/>
      </c>
      <c r="H18" s="37">
        <f>IFERROR(D18/F18,0)</f>
        <v/>
      </c>
      <c r="I18" s="31" t="inlineStr">
        <is>
          <t>[N/A]</t>
        </is>
      </c>
      <c r="J18" s="33" t="inlineStr">
        <is>
          <t>[Commentaire]</t>
        </is>
      </c>
    </row>
    <row r="19" ht="15" customHeight="1" s="25">
      <c r="B19" s="40" t="inlineStr">
        <is>
          <t>[Société B]</t>
        </is>
      </c>
      <c r="C19" s="41" t="inlineStr">
        <is>
          <t>DE</t>
        </is>
      </c>
      <c r="D19" s="42" t="n">
        <v>280</v>
      </c>
      <c r="E19" s="42" t="n">
        <v>200</v>
      </c>
      <c r="F19" s="42" t="n">
        <v>45</v>
      </c>
      <c r="G19" s="43">
        <f>IFERROR(D19/E19,0)</f>
        <v/>
      </c>
      <c r="H19" s="43">
        <f>IFERROR(D19/F19,0)</f>
        <v/>
      </c>
      <c r="I19" s="40" t="inlineStr">
        <is>
          <t>[N/A]</t>
        </is>
      </c>
      <c r="J19" s="44" t="inlineStr">
        <is>
          <t>[Commentaire]</t>
        </is>
      </c>
    </row>
    <row r="20" ht="15" customHeight="1" s="25">
      <c r="B20" s="31" t="inlineStr">
        <is>
          <t>[Société C]</t>
        </is>
      </c>
      <c r="C20" s="39" t="inlineStr">
        <is>
          <t>UK</t>
        </is>
      </c>
      <c r="D20" s="35" t="n">
        <v>420</v>
      </c>
      <c r="E20" s="35" t="n">
        <v>350</v>
      </c>
      <c r="F20" s="35" t="n">
        <v>70</v>
      </c>
      <c r="G20" s="37">
        <f>IFERROR(D20/E20,0)</f>
        <v/>
      </c>
      <c r="H20" s="37">
        <f>IFERROR(D20/F20,0)</f>
        <v/>
      </c>
      <c r="I20" s="31" t="inlineStr">
        <is>
          <t>[N/A]</t>
        </is>
      </c>
      <c r="J20" s="33" t="inlineStr">
        <is>
          <t>[Commentaire]</t>
        </is>
      </c>
    </row>
    <row r="21" ht="15" customHeight="1" s="25">
      <c r="B21" s="40" t="inlineStr">
        <is>
          <t>[Société D]</t>
        </is>
      </c>
      <c r="C21" s="41" t="inlineStr">
        <is>
          <t>FR</t>
        </is>
      </c>
      <c r="D21" s="42" t="n">
        <v>95</v>
      </c>
      <c r="E21" s="42" t="n">
        <v>80</v>
      </c>
      <c r="F21" s="42" t="n">
        <v>12</v>
      </c>
      <c r="G21" s="43">
        <f>IFERROR(D21/E21,0)</f>
        <v/>
      </c>
      <c r="H21" s="43">
        <f>IFERROR(D21/F21,0)</f>
        <v/>
      </c>
      <c r="I21" s="40" t="inlineStr">
        <is>
          <t>[N/A]</t>
        </is>
      </c>
      <c r="J21" s="44" t="inlineStr">
        <is>
          <t>[Commentaire]</t>
        </is>
      </c>
    </row>
    <row r="22" ht="15" customHeight="1" s="25">
      <c r="B22" s="31" t="inlineStr">
        <is>
          <t>[Société E]</t>
        </is>
      </c>
      <c r="C22" s="39" t="inlineStr">
        <is>
          <t>NL</t>
        </is>
      </c>
      <c r="D22" s="35" t="n">
        <v>310</v>
      </c>
      <c r="E22" s="35" t="n">
        <v>250</v>
      </c>
      <c r="F22" s="35" t="n">
        <v>55</v>
      </c>
      <c r="G22" s="37">
        <f>IFERROR(D22/E22,0)</f>
        <v/>
      </c>
      <c r="H22" s="37">
        <f>IFERROR(D22/F22,0)</f>
        <v/>
      </c>
      <c r="I22" s="31" t="inlineStr">
        <is>
          <t>[N/A]</t>
        </is>
      </c>
      <c r="J22" s="33" t="inlineStr">
        <is>
          <t>[Commentaire]</t>
        </is>
      </c>
    </row>
    <row r="23" ht="15" customHeight="1" s="25">
      <c r="B23" s="45" t="inlineStr">
        <is>
          <t>STATISTIQUES DES MULTIPLES</t>
        </is>
      </c>
    </row>
    <row r="24" ht="15" customHeight="1" s="25">
      <c r="B24" s="30" t="inlineStr">
        <is>
          <t>Multiple</t>
        </is>
      </c>
      <c r="C24" s="30" t="inlineStr">
        <is>
          <t>Médiane</t>
        </is>
      </c>
      <c r="D24" s="30" t="inlineStr">
        <is>
          <t>Moyenne</t>
        </is>
      </c>
      <c r="E24" s="30" t="inlineStr">
        <is>
          <t>Min</t>
        </is>
      </c>
      <c r="F24" s="30" t="inlineStr">
        <is>
          <t>Max</t>
        </is>
      </c>
    </row>
    <row r="25" ht="15" customHeight="1" s="25">
      <c r="B25" s="31" t="inlineStr">
        <is>
          <t>EV/Sales</t>
        </is>
      </c>
      <c r="C25" s="37">
        <f>MEDIAN(G18:G22)</f>
        <v/>
      </c>
      <c r="D25" s="37">
        <f>AVERAGE(G18:G22)</f>
        <v/>
      </c>
      <c r="E25" s="37">
        <f>MIN(G18:G22)</f>
        <v/>
      </c>
      <c r="F25" s="37">
        <f>MAX(G18:G22)</f>
        <v/>
      </c>
    </row>
    <row r="26" ht="15" customHeight="1" s="25">
      <c r="B26" s="31" t="inlineStr">
        <is>
          <t>EV/EBITDA</t>
        </is>
      </c>
      <c r="C26" s="37">
        <f>MEDIAN(H18:H22)</f>
        <v/>
      </c>
      <c r="D26" s="37">
        <f>AVERAGE(H18:H22)</f>
        <v/>
      </c>
      <c r="E26" s="37">
        <f>MIN(H18:H22)</f>
        <v/>
      </c>
      <c r="F26" s="37">
        <f>MAX(H18:H22)</f>
        <v/>
      </c>
    </row>
    <row r="28" ht="24.75" customHeight="1" s="25">
      <c r="B28" s="29" t="inlineStr">
        <is>
          <t>APPLICATION À LA CIBLE</t>
        </is>
      </c>
    </row>
    <row r="29" ht="15" customHeight="1" s="25">
      <c r="B29" s="38" t="inlineStr">
        <is>
          <t>Méthode</t>
        </is>
      </c>
      <c r="C29" s="38" t="inlineStr">
        <is>
          <t>Multiple appliqué</t>
        </is>
      </c>
      <c r="D29" s="38" t="inlineStr">
        <is>
          <t>Base</t>
        </is>
      </c>
      <c r="E29" s="38" t="inlineStr">
        <is>
          <t>Valeur entreprise (k€)</t>
        </is>
      </c>
      <c r="F29" s="38" t="inlineStr">
        <is>
          <t>Fourchette basse</t>
        </is>
      </c>
      <c r="G29" s="38" t="inlineStr">
        <is>
          <t>Fourchette haute</t>
        </is>
      </c>
    </row>
    <row r="30" ht="15" customHeight="1" s="25">
      <c r="B30" s="31" t="inlineStr">
        <is>
          <t>EV/Sales</t>
        </is>
      </c>
      <c r="C30" s="37">
        <f>C25</f>
        <v/>
      </c>
      <c r="D30" s="35">
        <f>C8</f>
        <v/>
      </c>
      <c r="E30" s="35">
        <f>C32*D32</f>
        <v/>
      </c>
      <c r="F30" s="35">
        <f>C32*0.9*D32</f>
        <v/>
      </c>
      <c r="G30" s="35">
        <f>C32*1.1*D32</f>
        <v/>
      </c>
    </row>
    <row r="31" ht="15" customHeight="1" s="25">
      <c r="B31" s="31" t="inlineStr">
        <is>
          <t>EV/EBITDA</t>
        </is>
      </c>
      <c r="C31" s="37">
        <f>C26</f>
        <v/>
      </c>
      <c r="D31" s="35">
        <f>C9</f>
        <v/>
      </c>
      <c r="E31" s="35">
        <f>C33*D33</f>
        <v/>
      </c>
      <c r="F31" s="35">
        <f>C33*0.9*D33</f>
        <v/>
      </c>
      <c r="G31" s="35">
        <f>C33*1.1*D33</f>
        <v/>
      </c>
    </row>
    <row r="33" ht="15" customHeight="1" s="25">
      <c r="B33" s="46" t="inlineStr">
        <is>
          <t>VALORISATION FINALE</t>
        </is>
      </c>
    </row>
    <row r="34" ht="15" customHeight="1" s="25">
      <c r="B34" s="27" t="inlineStr">
        <is>
          <t>Valorisation moyenne :</t>
        </is>
      </c>
      <c r="C34" s="47">
        <f>IFERROR(AVERAGE(E32:E33),0)</f>
        <v/>
      </c>
    </row>
    <row r="35" ht="15" customHeight="1" s="25">
      <c r="B35" s="27" t="inlineStr">
        <is>
          <t>Fourchette :</t>
        </is>
      </c>
      <c r="C35" s="48">
        <f>MIN(F32:F33)</f>
        <v/>
      </c>
    </row>
    <row r="36" ht="15" customHeight="1" s="25">
      <c r="C36" s="48">
        <f>MAX(G32:G33)</f>
        <v/>
      </c>
    </row>
  </sheetData>
  <mergeCells count="6">
    <mergeCell ref="G6:J6"/>
    <mergeCell ref="B23:D23"/>
    <mergeCell ref="B6:E6"/>
    <mergeCell ref="B2:K2"/>
    <mergeCell ref="B16:K16"/>
    <mergeCell ref="B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2026-02-03T04:11:23Z</dcterms:created>
  <dcterms:modified xmlns:dcterms="http://purl.org/dc/terms/" xmlns:xsi="http://www.w3.org/2001/XMLSchema-instance" xsi:type="dcterms:W3CDTF">2026-02-03T04:11:35Z</dcterms:modified>
  <cp:revision>0</cp:revision>
</cp:coreProperties>
</file>