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eteurs" sheetId="1" state="visible" r:id="rId2"/>
    <sheet name="Vendeur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<sst xmlns="http://schemas.openxmlformats.org/spreadsheetml/2006/main" count="167" uniqueCount="84">
  <si>
    <t xml:space="preserve">BASE DE DONNÉES DES ACHETEURS</t>
  </si>
  <si>
    <t xml:space="preserve">RÉCAPITULATIF</t>
  </si>
  <si>
    <t xml:space="preserve">Total acheteurs :</t>
  </si>
  <si>
    <t xml:space="preserve">Actifs :</t>
  </si>
  <si>
    <t xml:space="preserve">ID</t>
  </si>
  <si>
    <t xml:space="preserve">Nom</t>
  </si>
  <si>
    <t xml:space="preserve">Type</t>
  </si>
  <si>
    <t xml:space="preserve">Secteur cible</t>
  </si>
  <si>
    <t xml:space="preserve">Ticket min (M€)</t>
  </si>
  <si>
    <t xml:space="preserve">Ticket max (M€)</t>
  </si>
  <si>
    <t xml:space="preserve">Zone géographique</t>
  </si>
  <si>
    <t xml:space="preserve">Statut</t>
  </si>
  <si>
    <t xml:space="preserve">Contact principal</t>
  </si>
  <si>
    <t xml:space="preserve">Email</t>
  </si>
  <si>
    <t xml:space="preserve">Téléphone</t>
  </si>
  <si>
    <t xml:space="preserve">Dernier contact</t>
  </si>
  <si>
    <t xml:space="preserve">Intérêt</t>
  </si>
  <si>
    <t xml:space="preserve">Commentaires</t>
  </si>
  <si>
    <t xml:space="preserve">[Fonds A]</t>
  </si>
  <si>
    <t xml:space="preserve">PE</t>
  </si>
  <si>
    <t xml:space="preserve">Industrie</t>
  </si>
  <si>
    <t xml:space="preserve">Europe</t>
  </si>
  <si>
    <t xml:space="preserve">Actif</t>
  </si>
  <si>
    <t xml:space="preserve">[Nom]</t>
  </si>
  <si>
    <t xml:space="preserve">[Email]</t>
  </si>
  <si>
    <t xml:space="preserve">[Tél]</t>
  </si>
  <si>
    <t xml:space="preserve">15/01/2024</t>
  </si>
  <si>
    <t xml:space="preserve">Élevé</t>
  </si>
  <si>
    <t xml:space="preserve">[Commentaire]</t>
  </si>
  <si>
    <t xml:space="preserve">[Fonds B]</t>
  </si>
  <si>
    <t xml:space="preserve">Family Office</t>
  </si>
  <si>
    <t xml:space="preserve">Services</t>
  </si>
  <si>
    <t xml:space="preserve">France</t>
  </si>
  <si>
    <t xml:space="preserve">01/02/2024</t>
  </si>
  <si>
    <t xml:space="preserve">Moyen</t>
  </si>
  <si>
    <t xml:space="preserve">[Groupe C]</t>
  </si>
  <si>
    <t xml:space="preserve">Stratégique</t>
  </si>
  <si>
    <t xml:space="preserve">Tech</t>
  </si>
  <si>
    <t xml:space="preserve">Monde</t>
  </si>
  <si>
    <t xml:space="preserve">20/01/2024</t>
  </si>
  <si>
    <t xml:space="preserve">[Fonds D]</t>
  </si>
  <si>
    <t xml:space="preserve">Santé</t>
  </si>
  <si>
    <t xml:space="preserve">Inactif</t>
  </si>
  <si>
    <t xml:space="preserve">10/12/2023</t>
  </si>
  <si>
    <t xml:space="preserve">Faible</t>
  </si>
  <si>
    <t xml:space="preserve">[Investisseur E]</t>
  </si>
  <si>
    <t xml:space="preserve">Business Angel</t>
  </si>
  <si>
    <t xml:space="preserve">Tous</t>
  </si>
  <si>
    <t xml:space="preserve">05/02/2024</t>
  </si>
  <si>
    <t xml:space="preserve">[Fonds F]</t>
  </si>
  <si>
    <t xml:space="preserve">VC</t>
  </si>
  <si>
    <t xml:space="preserve">25/01/2024</t>
  </si>
  <si>
    <t xml:space="preserve">[Groupe G]</t>
  </si>
  <si>
    <t xml:space="preserve">BTP</t>
  </si>
  <si>
    <t xml:space="preserve">12/02/2024</t>
  </si>
  <si>
    <t xml:space="preserve">BASE DE DONNÉES DES VENDEURS</t>
  </si>
  <si>
    <t xml:space="preserve">Total vendeurs :</t>
  </si>
  <si>
    <t xml:space="preserve">Entreprise</t>
  </si>
  <si>
    <t xml:space="preserve">Secteur</t>
  </si>
  <si>
    <t xml:space="preserve">CA (M€)</t>
  </si>
  <si>
    <t xml:space="preserve">EBITDA %</t>
  </si>
  <si>
    <t xml:space="preserve">Localisation</t>
  </si>
  <si>
    <t xml:space="preserve">Motif vente</t>
  </si>
  <si>
    <t xml:space="preserve">Contact</t>
  </si>
  <si>
    <t xml:space="preserve">Date première rencontre</t>
  </si>
  <si>
    <t xml:space="preserve">Potentiel</t>
  </si>
  <si>
    <t xml:space="preserve">[Entreprise A]</t>
  </si>
  <si>
    <t xml:space="preserve">Paris</t>
  </si>
  <si>
    <t xml:space="preserve">Retraite</t>
  </si>
  <si>
    <t xml:space="preserve">10/01/2024</t>
  </si>
  <si>
    <t xml:space="preserve">[Entreprise B]</t>
  </si>
  <si>
    <t xml:space="preserve">Lyon</t>
  </si>
  <si>
    <t xml:space="preserve">En vente</t>
  </si>
  <si>
    <t xml:space="preserve">Croissance</t>
  </si>
  <si>
    <t xml:space="preserve">[Entreprise C]</t>
  </si>
  <si>
    <t xml:space="preserve">Bordeaux</t>
  </si>
  <si>
    <t xml:space="preserve">Pas de repreneur</t>
  </si>
  <si>
    <t xml:space="preserve">[Entreprise D]</t>
  </si>
  <si>
    <t xml:space="preserve">Marseille</t>
  </si>
  <si>
    <t xml:space="preserve">Concentration</t>
  </si>
  <si>
    <t xml:space="preserve">[Entreprise E]</t>
  </si>
  <si>
    <t xml:space="preserve">Lille</t>
  </si>
  <si>
    <t xml:space="preserve">À relancer</t>
  </si>
  <si>
    <t xml:space="preserve">Crise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</si>
</sst>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"/>
    <numFmt numFmtId="167" formatCode="0%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5" min="4" style="0" width="15"/>
    <col collapsed="false" customWidth="true" hidden="false" outlineLevel="0" max="7" min="6" style="0" width="12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20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5" min="15" style="0" width="25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customFormat="false" ht="15" hidden="false" customHeight="false" outlineLevel="0" collapsed="false">
      <c r="B4" s="2" t="s">
        <v>1</v>
      </c>
      <c r="C4" s="2"/>
      <c r="D4" s="2"/>
      <c r="E4" s="2"/>
    </row>
    <row r="5" customFormat="false" ht="15" hidden="false" customHeight="false" outlineLevel="0" collapsed="false">
      <c r="B5" s="3" t="s">
        <v>2</v>
      </c>
      <c r="C5" s="4" t="n">
        <f aca="false">COUNTA(C8:C500)</f>
        <v>8</v>
      </c>
    </row>
    <row r="6" customFormat="false" ht="15" hidden="false" customHeight="false" outlineLevel="0" collapsed="false">
      <c r="B6" s="3" t="s">
        <v>3</v>
      </c>
      <c r="C6" s="4" t="n">
        <f aca="false">COUNTIF(I8:I500,"Actif")</f>
        <v>6</v>
      </c>
    </row>
    <row r="8" customFormat="false" ht="30" hidden="false" customHeight="true" outlineLevel="0" collapsed="false"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</row>
    <row r="9" customFormat="false" ht="15" hidden="false" customHeight="false" outlineLevel="0" collapsed="false">
      <c r="B9" s="6" t="n">
        <v>1</v>
      </c>
      <c r="C9" s="7" t="s">
        <v>18</v>
      </c>
      <c r="D9" s="6" t="s">
        <v>19</v>
      </c>
      <c r="E9" s="8" t="s">
        <v>20</v>
      </c>
      <c r="F9" s="9" t="n">
        <v>5</v>
      </c>
      <c r="G9" s="9" t="n">
        <v>50</v>
      </c>
      <c r="H9" s="8" t="s">
        <v>21</v>
      </c>
      <c r="I9" s="8" t="s">
        <v>22</v>
      </c>
      <c r="J9" s="7" t="s">
        <v>23</v>
      </c>
      <c r="K9" s="7" t="s">
        <v>24</v>
      </c>
      <c r="L9" s="7" t="s">
        <v>25</v>
      </c>
      <c r="M9" s="6" t="s">
        <v>26</v>
      </c>
      <c r="N9" s="8" t="s">
        <v>27</v>
      </c>
      <c r="O9" s="7" t="s">
        <v>28</v>
      </c>
    </row>
    <row r="10" customFormat="false" ht="15" hidden="false" customHeight="false" outlineLevel="0" collapsed="false">
      <c r="B10" s="10" t="n">
        <v>2</v>
      </c>
      <c r="C10" s="11" t="s">
        <v>29</v>
      </c>
      <c r="D10" s="10" t="s">
        <v>30</v>
      </c>
      <c r="E10" s="12" t="s">
        <v>31</v>
      </c>
      <c r="F10" s="13" t="n">
        <v>2</v>
      </c>
      <c r="G10" s="13" t="n">
        <v>20</v>
      </c>
      <c r="H10" s="12" t="s">
        <v>32</v>
      </c>
      <c r="I10" s="12" t="s">
        <v>22</v>
      </c>
      <c r="J10" s="11" t="s">
        <v>23</v>
      </c>
      <c r="K10" s="11" t="s">
        <v>24</v>
      </c>
      <c r="L10" s="11" t="s">
        <v>25</v>
      </c>
      <c r="M10" s="10" t="s">
        <v>33</v>
      </c>
      <c r="N10" s="12" t="s">
        <v>34</v>
      </c>
      <c r="O10" s="11" t="s">
        <v>28</v>
      </c>
      <c r="P10" s="14"/>
    </row>
    <row r="11" customFormat="false" ht="15" hidden="false" customHeight="false" outlineLevel="0" collapsed="false">
      <c r="B11" s="6" t="n">
        <v>3</v>
      </c>
      <c r="C11" s="7" t="s">
        <v>35</v>
      </c>
      <c r="D11" s="6" t="s">
        <v>36</v>
      </c>
      <c r="E11" s="8" t="s">
        <v>37</v>
      </c>
      <c r="F11" s="9" t="n">
        <v>10</v>
      </c>
      <c r="G11" s="9" t="n">
        <v>100</v>
      </c>
      <c r="H11" s="8" t="s">
        <v>38</v>
      </c>
      <c r="I11" s="8" t="s">
        <v>22</v>
      </c>
      <c r="J11" s="7" t="s">
        <v>23</v>
      </c>
      <c r="K11" s="7" t="s">
        <v>24</v>
      </c>
      <c r="L11" s="7" t="s">
        <v>25</v>
      </c>
      <c r="M11" s="6" t="s">
        <v>39</v>
      </c>
      <c r="N11" s="8" t="s">
        <v>27</v>
      </c>
      <c r="O11" s="7" t="s">
        <v>28</v>
      </c>
    </row>
    <row r="12" customFormat="false" ht="15" hidden="false" customHeight="false" outlineLevel="0" collapsed="false">
      <c r="B12" s="10" t="n">
        <v>4</v>
      </c>
      <c r="C12" s="11" t="s">
        <v>40</v>
      </c>
      <c r="D12" s="10" t="s">
        <v>19</v>
      </c>
      <c r="E12" s="12" t="s">
        <v>41</v>
      </c>
      <c r="F12" s="13" t="n">
        <v>15</v>
      </c>
      <c r="G12" s="13" t="n">
        <v>80</v>
      </c>
      <c r="H12" s="12" t="s">
        <v>21</v>
      </c>
      <c r="I12" s="12" t="s">
        <v>42</v>
      </c>
      <c r="J12" s="11" t="s">
        <v>23</v>
      </c>
      <c r="K12" s="11" t="s">
        <v>24</v>
      </c>
      <c r="L12" s="11" t="s">
        <v>25</v>
      </c>
      <c r="M12" s="10" t="s">
        <v>43</v>
      </c>
      <c r="N12" s="12" t="s">
        <v>44</v>
      </c>
      <c r="O12" s="11" t="s">
        <v>28</v>
      </c>
      <c r="P12" s="14"/>
    </row>
    <row r="13" customFormat="false" ht="15" hidden="false" customHeight="false" outlineLevel="0" collapsed="false">
      <c r="B13" s="6" t="n">
        <v>5</v>
      </c>
      <c r="C13" s="7" t="s">
        <v>45</v>
      </c>
      <c r="D13" s="6" t="s">
        <v>46</v>
      </c>
      <c r="E13" s="8" t="s">
        <v>47</v>
      </c>
      <c r="F13" s="9" t="n">
        <v>0.5</v>
      </c>
      <c r="G13" s="9" t="n">
        <v>5</v>
      </c>
      <c r="H13" s="8" t="s">
        <v>32</v>
      </c>
      <c r="I13" s="8" t="s">
        <v>22</v>
      </c>
      <c r="J13" s="7" t="s">
        <v>23</v>
      </c>
      <c r="K13" s="7" t="s">
        <v>24</v>
      </c>
      <c r="L13" s="7" t="s">
        <v>25</v>
      </c>
      <c r="M13" s="6" t="s">
        <v>48</v>
      </c>
      <c r="N13" s="8" t="s">
        <v>34</v>
      </c>
      <c r="O13" s="7" t="s">
        <v>28</v>
      </c>
    </row>
    <row r="14" customFormat="false" ht="15" hidden="false" customHeight="false" outlineLevel="0" collapsed="false">
      <c r="B14" s="10" t="n">
        <v>6</v>
      </c>
      <c r="C14" s="11" t="s">
        <v>49</v>
      </c>
      <c r="D14" s="10" t="s">
        <v>50</v>
      </c>
      <c r="E14" s="12" t="s">
        <v>37</v>
      </c>
      <c r="F14" s="13" t="n">
        <v>1</v>
      </c>
      <c r="G14" s="13" t="n">
        <v>10</v>
      </c>
      <c r="H14" s="12" t="s">
        <v>21</v>
      </c>
      <c r="I14" s="12" t="s">
        <v>22</v>
      </c>
      <c r="J14" s="11" t="s">
        <v>23</v>
      </c>
      <c r="K14" s="11" t="s">
        <v>24</v>
      </c>
      <c r="L14" s="11" t="s">
        <v>25</v>
      </c>
      <c r="M14" s="10" t="s">
        <v>51</v>
      </c>
      <c r="N14" s="12" t="s">
        <v>27</v>
      </c>
      <c r="O14" s="11" t="s">
        <v>28</v>
      </c>
      <c r="P14" s="14"/>
    </row>
    <row r="15" customFormat="false" ht="15" hidden="false" customHeight="false" outlineLevel="0" collapsed="false">
      <c r="B15" s="6" t="n">
        <v>7</v>
      </c>
      <c r="C15" s="7" t="s">
        <v>52</v>
      </c>
      <c r="D15" s="6" t="s">
        <v>36</v>
      </c>
      <c r="E15" s="8" t="s">
        <v>53</v>
      </c>
      <c r="F15" s="9" t="n">
        <v>20</v>
      </c>
      <c r="G15" s="9" t="n">
        <v>200</v>
      </c>
      <c r="H15" s="8" t="s">
        <v>32</v>
      </c>
      <c r="I15" s="8" t="s">
        <v>22</v>
      </c>
      <c r="J15" s="7" t="s">
        <v>23</v>
      </c>
      <c r="K15" s="7" t="s">
        <v>24</v>
      </c>
      <c r="L15" s="7" t="s">
        <v>25</v>
      </c>
      <c r="M15" s="6" t="s">
        <v>54</v>
      </c>
      <c r="N15" s="8" t="s">
        <v>34</v>
      </c>
      <c r="O15" s="7" t="s">
        <v>28</v>
      </c>
    </row>
  </sheetData>
  <mergeCells count="2">
    <mergeCell ref="B2:O2"/>
    <mergeCell ref="B4:E4"/>
  </mergeCells>
  <conditionalFormatting sqref="I9:I209">
    <cfRule type="expression" priority="2" aboveAverage="0" equalAverage="0" bottom="0" percent="0" rank="0" text="" dxfId="0">
      <formula>I9="Actif"</formula>
    </cfRule>
    <cfRule type="expression" priority="3" aboveAverage="0" equalAverage="0" bottom="0" percent="0" rank="0" text="" dxfId="1">
      <formula>I9="Inactif"</formula>
    </cfRule>
  </conditionalFormatting>
  <conditionalFormatting sqref="N9:N209">
    <cfRule type="expression" priority="4" aboveAverage="0" equalAverage="0" bottom="0" percent="0" rank="0" text="" dxfId="0">
      <formula>N9="Élevé"</formula>
    </cfRule>
  </conditionalFormatting>
  <conditionalFormatting sqref="G9:G209">
    <cfRule type="dataBar" priority="5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{FC1224F9-FF21-494F-A574-C5EE10772558}</x14:id>
        </ext>
      </extLst>
    </cfRule>
  </conditionalFormatting>
  <conditionalFormatting sqref="H9:H209">
    <cfRule type="dataBar" priority="6">
      <dataBar showValue="1" minLength="10" maxLength="90">
        <cfvo type="min" val="0"/>
        <cfvo type="max" val="0"/>
        <color rgb="FF63BE7B"/>
      </dataBar>
      <extLst>
        <ext xmlns:x14="http://schemas.microsoft.com/office/spreadsheetml/2009/9/main" uri="{B025F937-C7B1-47D3-B67F-A62EFF666E3E}">
          <x14:id>{42683852-2530-41E1-BACE-1EDBBDA0C957}</x14:id>
        </ext>
      </extLst>
    </cfRule>
  </conditionalFormatting>
  <dataValidations count="3">
    <dataValidation allowBlank="true" errorStyle="stop" operator="between" showDropDown="false" showErrorMessage="false" showInputMessage="false" sqref="E9:E209" type="list">
      <formula1>"PE,Family Office,Stratégique,VC,Business Angel,Corporate"</formula1>
      <formula2>0</formula2>
    </dataValidation>
    <dataValidation allowBlank="true" errorStyle="stop" operator="between" showDropDown="false" showErrorMessage="false" showInputMessage="false" sqref="I9:I209" type="list">
      <formula1>"Actif,Inactif,À recontacter,Blacklist"</formula1>
      <formula2>0</formula2>
    </dataValidation>
    <dataValidation allowBlank="true" errorStyle="stop" operator="between" showDropDown="false" showErrorMessage="false" showInputMessage="false" sqref="N9:N209" type="list">
      <formula1>"Élevé,Moyen,Faible,Inconnu"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1224F9-FF21-494F-A574-C5EE10772558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G9:G209</xm:sqref>
        </x14:conditionalFormatting>
        <x14:conditionalFormatting xmlns:xm="http://schemas.microsoft.com/office/excel/2006/main">
          <x14:cfRule type="dataBar" id="{42683852-2530-41E1-BACE-1EDBBDA0C957}">
            <x14:dataBar minLength="10" maxLength="90" axisPosition="none" gradient="true">
              <x14:cfvo type="min"/>
              <x14:cfvo type="max"/>
              <x14:negativeFillColor rgb="FF63BE7B"/>
              <x14:axisColor rgb="FF000000"/>
            </x14:dataBar>
          </x14:cfRule>
          <xm:sqref>H9:H209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5" min="4" style="0" width="15"/>
    <col collapsed="false" customWidth="true" hidden="false" outlineLevel="0" max="7" min="6" style="0" width="12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20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5" min="15" style="0" width="25"/>
  </cols>
  <sheetData>
    <row r="2" customFormat="false" ht="34.5" hidden="false" customHeight="true" outlineLevel="0" collapsed="false">
      <c r="B2" s="1" t="s">
        <v>55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customFormat="false" ht="15" hidden="false" customHeight="false" outlineLevel="0" collapsed="false">
      <c r="B4" s="2" t="s">
        <v>1</v>
      </c>
      <c r="C4" s="2"/>
      <c r="D4" s="2"/>
      <c r="E4" s="2"/>
    </row>
    <row r="5" customFormat="false" ht="15" hidden="false" customHeight="false" outlineLevel="0" collapsed="false">
      <c r="B5" s="3" t="s">
        <v>56</v>
      </c>
      <c r="C5" s="4" t="n">
        <f aca="false">COUNTA(C8:C500)</f>
        <v>6</v>
      </c>
    </row>
    <row r="8" customFormat="false" ht="30" hidden="false" customHeight="true" outlineLevel="0" collapsed="false">
      <c r="B8" s="5" t="s">
        <v>4</v>
      </c>
      <c r="C8" s="5" t="s">
        <v>57</v>
      </c>
      <c r="D8" s="5" t="s">
        <v>58</v>
      </c>
      <c r="E8" s="5" t="s">
        <v>59</v>
      </c>
      <c r="F8" s="5" t="s">
        <v>60</v>
      </c>
      <c r="G8" s="5" t="s">
        <v>61</v>
      </c>
      <c r="H8" s="5" t="s">
        <v>11</v>
      </c>
      <c r="I8" s="5" t="s">
        <v>62</v>
      </c>
      <c r="J8" s="5" t="s">
        <v>63</v>
      </c>
      <c r="K8" s="5" t="s">
        <v>13</v>
      </c>
      <c r="L8" s="5" t="s">
        <v>14</v>
      </c>
      <c r="M8" s="5" t="s">
        <v>64</v>
      </c>
      <c r="N8" s="5" t="s">
        <v>65</v>
      </c>
      <c r="O8" s="5" t="s">
        <v>17</v>
      </c>
    </row>
    <row r="9" customFormat="false" ht="15" hidden="false" customHeight="false" outlineLevel="0" collapsed="false">
      <c r="B9" s="6" t="n">
        <v>1</v>
      </c>
      <c r="C9" s="7" t="s">
        <v>66</v>
      </c>
      <c r="D9" s="6" t="s">
        <v>20</v>
      </c>
      <c r="E9" s="9" t="n">
        <v>15</v>
      </c>
      <c r="F9" s="15" t="n">
        <v>0.12</v>
      </c>
      <c r="G9" s="6" t="s">
        <v>67</v>
      </c>
      <c r="H9" s="8" t="s">
        <v>22</v>
      </c>
      <c r="I9" s="7" t="s">
        <v>68</v>
      </c>
      <c r="J9" s="7" t="s">
        <v>23</v>
      </c>
      <c r="K9" s="7" t="s">
        <v>24</v>
      </c>
      <c r="L9" s="6" t="s">
        <v>25</v>
      </c>
      <c r="M9" s="6" t="s">
        <v>69</v>
      </c>
      <c r="N9" s="8" t="s">
        <v>27</v>
      </c>
      <c r="O9" s="7" t="s">
        <v>28</v>
      </c>
    </row>
    <row r="10" customFormat="false" ht="15" hidden="false" customHeight="false" outlineLevel="0" collapsed="false">
      <c r="B10" s="10" t="n">
        <v>2</v>
      </c>
      <c r="C10" s="11" t="s">
        <v>70</v>
      </c>
      <c r="D10" s="10" t="s">
        <v>31</v>
      </c>
      <c r="E10" s="13" t="n">
        <v>8</v>
      </c>
      <c r="F10" s="16" t="n">
        <v>0.15</v>
      </c>
      <c r="G10" s="10" t="s">
        <v>71</v>
      </c>
      <c r="H10" s="12" t="s">
        <v>72</v>
      </c>
      <c r="I10" s="11" t="s">
        <v>73</v>
      </c>
      <c r="J10" s="11" t="s">
        <v>23</v>
      </c>
      <c r="K10" s="11" t="s">
        <v>24</v>
      </c>
      <c r="L10" s="10" t="s">
        <v>25</v>
      </c>
      <c r="M10" s="10" t="s">
        <v>26</v>
      </c>
      <c r="N10" s="12" t="s">
        <v>27</v>
      </c>
      <c r="O10" s="11" t="s">
        <v>28</v>
      </c>
      <c r="P10" s="14"/>
    </row>
    <row r="11" customFormat="false" ht="15" hidden="false" customHeight="false" outlineLevel="0" collapsed="false">
      <c r="B11" s="6" t="n">
        <v>3</v>
      </c>
      <c r="C11" s="7" t="s">
        <v>74</v>
      </c>
      <c r="D11" s="6" t="s">
        <v>37</v>
      </c>
      <c r="E11" s="9" t="n">
        <v>5</v>
      </c>
      <c r="F11" s="15" t="n">
        <v>0.2</v>
      </c>
      <c r="G11" s="6" t="s">
        <v>75</v>
      </c>
      <c r="H11" s="8" t="s">
        <v>22</v>
      </c>
      <c r="I11" s="7" t="s">
        <v>76</v>
      </c>
      <c r="J11" s="7" t="s">
        <v>23</v>
      </c>
      <c r="K11" s="7" t="s">
        <v>24</v>
      </c>
      <c r="L11" s="6" t="s">
        <v>25</v>
      </c>
      <c r="M11" s="6" t="s">
        <v>39</v>
      </c>
      <c r="N11" s="8" t="s">
        <v>34</v>
      </c>
      <c r="O11" s="7" t="s">
        <v>28</v>
      </c>
    </row>
    <row r="12" customFormat="false" ht="15" hidden="false" customHeight="false" outlineLevel="0" collapsed="false">
      <c r="B12" s="10" t="n">
        <v>4</v>
      </c>
      <c r="C12" s="11" t="s">
        <v>77</v>
      </c>
      <c r="D12" s="10" t="s">
        <v>41</v>
      </c>
      <c r="E12" s="13" t="n">
        <v>25</v>
      </c>
      <c r="F12" s="16" t="n">
        <v>0.18</v>
      </c>
      <c r="G12" s="10" t="s">
        <v>78</v>
      </c>
      <c r="H12" s="12" t="s">
        <v>72</v>
      </c>
      <c r="I12" s="11" t="s">
        <v>79</v>
      </c>
      <c r="J12" s="11" t="s">
        <v>23</v>
      </c>
      <c r="K12" s="11" t="s">
        <v>24</v>
      </c>
      <c r="L12" s="10" t="s">
        <v>25</v>
      </c>
      <c r="M12" s="10" t="s">
        <v>48</v>
      </c>
      <c r="N12" s="12" t="s">
        <v>27</v>
      </c>
      <c r="O12" s="11" t="s">
        <v>28</v>
      </c>
      <c r="P12" s="14"/>
    </row>
    <row r="13" customFormat="false" ht="15" hidden="false" customHeight="false" outlineLevel="0" collapsed="false">
      <c r="B13" s="6" t="n">
        <v>5</v>
      </c>
      <c r="C13" s="7" t="s">
        <v>80</v>
      </c>
      <c r="D13" s="6" t="s">
        <v>53</v>
      </c>
      <c r="E13" s="9" t="n">
        <v>12</v>
      </c>
      <c r="F13" s="15" t="n">
        <v>0.08</v>
      </c>
      <c r="G13" s="6" t="s">
        <v>81</v>
      </c>
      <c r="H13" s="8" t="s">
        <v>82</v>
      </c>
      <c r="I13" s="7" t="s">
        <v>83</v>
      </c>
      <c r="J13" s="7" t="s">
        <v>23</v>
      </c>
      <c r="K13" s="7" t="s">
        <v>24</v>
      </c>
      <c r="L13" s="6" t="s">
        <v>25</v>
      </c>
      <c r="M13" s="6" t="s">
        <v>33</v>
      </c>
      <c r="N13" s="8" t="s">
        <v>44</v>
      </c>
      <c r="O13" s="7" t="s">
        <v>28</v>
      </c>
    </row>
  </sheetData>
  <mergeCells count="2">
    <mergeCell ref="B2:O2"/>
    <mergeCell ref="B4:E4"/>
  </mergeCells>
  <conditionalFormatting sqref="H9:H209">
    <cfRule type="expression" priority="2" aboveAverage="0" equalAverage="0" bottom="0" percent="0" rank="0" text="" dxfId="0">
      <formula>H9="En vente"</formula>
    </cfRule>
  </conditionalFormatting>
  <conditionalFormatting sqref="N9:N209">
    <cfRule type="expression" priority="3" aboveAverage="0" equalAverage="0" bottom="0" percent="0" rank="0" text="" dxfId="0">
      <formula>N9="Élevé"</formula>
    </cfRule>
  </conditionalFormatting>
  <conditionalFormatting sqref="E9:E209">
    <cfRule type="dataBar" priority="4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{5E9B23D3-9190-45D2-9D2F-174023811E5F}</x14:id>
        </ext>
      </extLst>
    </cfRule>
  </conditionalFormatting>
  <dataValidations count="3">
    <dataValidation allowBlank="true" errorStyle="stop" operator="between" showDropDown="false" showErrorMessage="false" showInputMessage="false" sqref="H9:H209" type="list">
      <formula1>"Actif,En vente,À relancer,Vendu,Abandonné"</formula1>
      <formula2>0</formula2>
    </dataValidation>
    <dataValidation allowBlank="true" errorStyle="stop" operator="between" showDropDown="false" showErrorMessage="false" showInputMessage="false" sqref="I9:I209" type="list">
      <formula1>"Retraite,Croissance,Pas de repreneur,Concentration,Crise,Autre"</formula1>
      <formula2>0</formula2>
    </dataValidation>
    <dataValidation allowBlank="true" errorStyle="stop" operator="between" showDropDown="false" showErrorMessage="false" showInputMessage="false" sqref="N9:N209" type="list">
      <formula1>"Élevé,Moyen,Faible"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9B23D3-9190-45D2-9D2F-174023811E5F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E9:E209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2026-02-03T04:16:05Z</dcterms:created>
  <dc:creator>openpyxl</dc:creator>
  <dc:description/>
  <dc:language>en-US</dc:language>
  <cp:lastModifiedBy/>
  <dcterms:modified xsi:type="dcterms:W3CDTF">2026-02-03T04:16:05Z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